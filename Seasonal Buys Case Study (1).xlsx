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ory_Report" sheetId="1" r:id="rId4"/>
    <sheet state="visible" name="Seasonal_Buys_CLEAN_data" sheetId="2" r:id="rId5"/>
    <sheet state="visible" name="Seasonal_Buys_Pivot Table" sheetId="3" r:id="rId6"/>
    <sheet state="visible" name="BU_Insights_Pivot Table" sheetId="4" r:id="rId7"/>
    <sheet state="visible" name="Seasonal_Buys_MESSY_data" sheetId="5" r:id="rId8"/>
    <sheet state="visible" name="OTB_Budget" sheetId="6" r:id="rId9"/>
    <sheet state="visible" name="Sales_Forecast" sheetId="7" r:id="rId10"/>
  </sheets>
  <definedNames/>
  <calcPr/>
  <pivotCaches>
    <pivotCache cacheId="0" r:id="rId11"/>
  </pivotCaches>
</workbook>
</file>

<file path=xl/sharedStrings.xml><?xml version="1.0" encoding="utf-8"?>
<sst xmlns="http://schemas.openxmlformats.org/spreadsheetml/2006/main" count="328" uniqueCount="96">
  <si>
    <t>Seasonal Inventory Analysis (SS26) - Work Sample</t>
  </si>
  <si>
    <t>Total Units Ordered</t>
  </si>
  <si>
    <t>Total Forecast Units</t>
  </si>
  <si>
    <t>Total Cost</t>
  </si>
  <si>
    <t>Total Forecast Revenue</t>
  </si>
  <si>
    <t>Total Margin $</t>
  </si>
  <si>
    <t>Avg Margin %</t>
  </si>
  <si>
    <t>Item Code</t>
  </si>
  <si>
    <t>Ordered Units</t>
  </si>
  <si>
    <t>Forecast Units</t>
  </si>
  <si>
    <t>BU</t>
  </si>
  <si>
    <t>Avg Margin</t>
  </si>
  <si>
    <t>Stock Status</t>
  </si>
  <si>
    <t>Count</t>
  </si>
  <si>
    <t>Week Start</t>
  </si>
  <si>
    <t>Units Arriving</t>
  </si>
  <si>
    <t>Understock Priority</t>
  </si>
  <si>
    <t>Item</t>
  </si>
  <si>
    <t>Item   Description</t>
  </si>
  <si>
    <t>Category</t>
  </si>
  <si>
    <t>Ordered</t>
  </si>
  <si>
    <t>Variance</t>
  </si>
  <si>
    <t>INT</t>
  </si>
  <si>
    <t>Floral Dress M</t>
  </si>
  <si>
    <t>Dresses</t>
  </si>
  <si>
    <t>DTC</t>
  </si>
  <si>
    <t>Floral Dress S</t>
  </si>
  <si>
    <t>Low / Negative Margin Item</t>
  </si>
  <si>
    <t>WH</t>
  </si>
  <si>
    <t>Denim Jacket L</t>
  </si>
  <si>
    <t>Jackets</t>
  </si>
  <si>
    <t>Silk Blouse S</t>
  </si>
  <si>
    <t>Tops</t>
  </si>
  <si>
    <t>Item Description</t>
  </si>
  <si>
    <t>Forecast Rev</t>
  </si>
  <si>
    <t>Margin $</t>
  </si>
  <si>
    <t>Margin %</t>
  </si>
  <si>
    <t>Maxi SKirt L</t>
  </si>
  <si>
    <t>Skirts</t>
  </si>
  <si>
    <t>Summer Dress L</t>
  </si>
  <si>
    <t>Casual Tee S</t>
  </si>
  <si>
    <t>Blouse M</t>
  </si>
  <si>
    <t>Cardigan M</t>
  </si>
  <si>
    <t>Chino Pants M</t>
  </si>
  <si>
    <t>Wrap Skirt S</t>
  </si>
  <si>
    <t>FLoral Dress S</t>
  </si>
  <si>
    <t>Overview</t>
  </si>
  <si>
    <r>
      <rPr>
        <rFont val="Arial"/>
        <color theme="1"/>
        <sz val="17.0"/>
      </rPr>
      <t xml:space="preserve">This report reviews simulated seasonal buys against forecast to identify stock risk, margin exceptions, and planning actions for demonstration of skills.
The assortment is underbought versus forecast, creating the primary risk of missed sales. The recommended priority is to chase the largest deficits first, beginning with the </t>
    </r>
    <r>
      <rPr>
        <rFont val="Arial"/>
        <b/>
        <color theme="1"/>
        <sz val="17.0"/>
      </rPr>
      <t>INT 1002 (-25)</t>
    </r>
    <r>
      <rPr>
        <rFont val="Arial"/>
        <color theme="1"/>
        <sz val="17.0"/>
      </rPr>
      <t xml:space="preserve">, then </t>
    </r>
    <r>
      <rPr>
        <rFont val="Arial"/>
        <b/>
        <color theme="1"/>
        <sz val="17.0"/>
      </rPr>
      <t>DTC 1001</t>
    </r>
    <r>
      <rPr>
        <rFont val="Arial"/>
        <color theme="1"/>
        <sz val="17.0"/>
      </rPr>
      <t xml:space="preserve"> and </t>
    </r>
    <r>
      <rPr>
        <rFont val="Arial"/>
        <b/>
        <color theme="1"/>
        <sz val="17.0"/>
      </rPr>
      <t>DTC 1002 (-10)</t>
    </r>
    <r>
      <rPr>
        <rFont val="Arial"/>
        <color theme="1"/>
        <sz val="17.0"/>
      </rPr>
      <t xml:space="preserve">, followed by the </t>
    </r>
    <r>
      <rPr>
        <rFont val="Arial"/>
        <b/>
        <color theme="1"/>
        <sz val="17.0"/>
      </rPr>
      <t>-5</t>
    </r>
    <r>
      <rPr>
        <rFont val="Arial"/>
        <color theme="1"/>
        <sz val="17.0"/>
      </rPr>
      <t xml:space="preserve"> unit group. If inventory exists in other warehouses for shared SKUs, evaluate reroute opportunities. From a profitability standpoint,</t>
    </r>
    <r>
      <rPr>
        <rFont val="Arial"/>
        <b/>
        <color theme="1"/>
        <sz val="17.0"/>
      </rPr>
      <t xml:space="preserve"> INT 1009 (-7.06%)</t>
    </r>
    <r>
      <rPr>
        <rFont val="Arial"/>
        <color theme="1"/>
        <sz val="17.0"/>
      </rPr>
      <t xml:space="preserve"> requires pricing/cost validation before increasing buys, while the near break-even styles </t>
    </r>
    <r>
      <rPr>
        <rFont val="Arial"/>
        <b/>
        <color theme="1"/>
        <sz val="17.0"/>
      </rPr>
      <t>(0.03%)</t>
    </r>
    <r>
      <rPr>
        <rFont val="Arial"/>
        <color theme="1"/>
        <sz val="17.0"/>
      </rPr>
      <t xml:space="preserve"> should be monitored closely to prevent margin erosion.</t>
    </r>
  </si>
  <si>
    <t>Order Qty</t>
  </si>
  <si>
    <t>Clean Qty</t>
  </si>
  <si>
    <t>Unit Cost</t>
  </si>
  <si>
    <t xml:space="preserve"> Clean Unit Cost</t>
  </si>
  <si>
    <t>Clean Total Cost</t>
  </si>
  <si>
    <t>PO #</t>
  </si>
  <si>
    <t>Clean PO #</t>
  </si>
  <si>
    <t>Delivery Date</t>
  </si>
  <si>
    <t>Standarized Delivery Dates</t>
  </si>
  <si>
    <t>Comments</t>
  </si>
  <si>
    <t>Remaining OTB</t>
  </si>
  <si>
    <t>OTB Status</t>
  </si>
  <si>
    <t>Forecast Revenue</t>
  </si>
  <si>
    <t>Inventory Action</t>
  </si>
  <si>
    <t>Qty Variance</t>
  </si>
  <si>
    <t>Variance Flag</t>
  </si>
  <si>
    <t>PO12345</t>
  </si>
  <si>
    <t>Late confirmation</t>
  </si>
  <si>
    <t>PO12346</t>
  </si>
  <si>
    <t>Confirmed</t>
  </si>
  <si>
    <t>PO22345</t>
  </si>
  <si>
    <t>PO22346</t>
  </si>
  <si>
    <t>PO32345</t>
  </si>
  <si>
    <t>Linen Pants M</t>
  </si>
  <si>
    <t>Pants</t>
  </si>
  <si>
    <t>PO12347</t>
  </si>
  <si>
    <t>Qty missing</t>
  </si>
  <si>
    <t>PO22347</t>
  </si>
  <si>
    <t>Unit cost missing</t>
  </si>
  <si>
    <t>Maxi Skirt L</t>
  </si>
  <si>
    <t>PO # missing</t>
  </si>
  <si>
    <t>PO12348</t>
  </si>
  <si>
    <t>PO22348</t>
  </si>
  <si>
    <t>PO32347</t>
  </si>
  <si>
    <t>PO12349</t>
  </si>
  <si>
    <t>Total cost missing</t>
  </si>
  <si>
    <t>PO22349</t>
  </si>
  <si>
    <t>PO32348</t>
  </si>
  <si>
    <t>Sea</t>
  </si>
  <si>
    <t>SUM of Clean Qty</t>
  </si>
  <si>
    <t>SUM of Clean Total Cost</t>
  </si>
  <si>
    <t>AVERAGE of  Clean Unit Cost</t>
  </si>
  <si>
    <t>Grand Total</t>
  </si>
  <si>
    <t>Values</t>
  </si>
  <si>
    <t>AVERAGE of Margin %</t>
  </si>
  <si>
    <t>BU_Category_Key</t>
  </si>
  <si>
    <t>OTB Limit</t>
  </si>
  <si>
    <t>Current Spend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</si>
</sst>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
    <numFmt numFmtId="165" formatCode="mm/dd/yyyy"/>
    <numFmt numFmtId="166" formatCode="m/d/yy"/>
    <numFmt numFmtId="167" formatCode="M/d/yyyy"/>
    <numFmt numFmtId="168" formatCode="m-d-yyyy"/>
    <numFmt numFmtId="169" formatCode="mm/dd/yy"/>
    <numFmt numFmtId="170" formatCode="m/d/yyyy"/>
    <numFmt numFmtId="171" formatCode="m-d-yy"/>
  </numFmts>
  <fonts count="17">
    <font>
      <sz val="10.0"/>
      <color rgb="FF000000"/>
      <name val="Arial"/>
      <scheme val="minor"/>
    </font>
    <font>
      <b/>
      <sz val="33.0"/>
      <color rgb="FF0B5394"/>
      <name val="Arial"/>
      <scheme val="minor"/>
    </font>
    <font>
      <b/>
      <sz val="33.0"/>
      <color rgb="FFFFFFFF"/>
      <name val="Arial"/>
      <scheme val="minor"/>
    </font>
    <font/>
    <font>
      <b/>
      <sz val="18.0"/>
      <color theme="1"/>
      <name val="Arial"/>
      <scheme val="minor"/>
    </font>
    <font>
      <b/>
      <sz val="28.0"/>
      <color rgb="FF3D85C6"/>
      <name val="Arial"/>
      <scheme val="minor"/>
    </font>
    <font>
      <b/>
      <sz val="28.0"/>
      <color rgb="FF6AA84F"/>
      <name val="Arial"/>
      <scheme val="minor"/>
    </font>
    <font>
      <color theme="1"/>
      <name val="Arial"/>
      <scheme val="minor"/>
    </font>
    <font>
      <b/>
      <sz val="21.0"/>
      <color rgb="FF1155CC"/>
      <name val="Arial"/>
      <scheme val="minor"/>
    </font>
    <font>
      <i/>
      <sz val="14.0"/>
      <color theme="1"/>
      <name val="Arial"/>
      <scheme val="minor"/>
    </font>
    <font>
      <b/>
      <sz val="14.0"/>
      <color theme="1"/>
      <name val="Arial"/>
      <scheme val="minor"/>
    </font>
    <font>
      <sz val="13.0"/>
      <color theme="1"/>
      <name val="Arial"/>
      <scheme val="minor"/>
    </font>
    <font>
      <sz val="14.0"/>
      <color theme="1"/>
      <name val="Arial"/>
      <scheme val="minor"/>
    </font>
    <font>
      <b/>
      <sz val="30.0"/>
      <color rgb="FF1155CC"/>
      <name val="Arial"/>
      <scheme val="minor"/>
    </font>
    <font>
      <sz val="17.0"/>
      <color theme="1"/>
      <name val="Arial"/>
      <scheme val="minor"/>
    </font>
    <font>
      <b/>
      <color theme="1"/>
      <name val="Arial"/>
      <scheme val="minor"/>
    </font>
    <font>
      <b/>
      <i/>
      <color theme="1"/>
      <name val="Arial"/>
      <scheme val="minor"/>
    </font>
  </fonts>
  <fills count="9">
    <fill>
      <patternFill patternType="none"/>
    </fill>
    <fill>
      <patternFill patternType="lightGray"/>
    </fill>
    <fill>
      <patternFill patternType="solid">
        <fgColor rgb="FF666666"/>
        <bgColor rgb="FF666666"/>
      </patternFill>
    </fill>
    <fill>
      <patternFill patternType="solid">
        <fgColor rgb="FFF3F3F3"/>
        <bgColor rgb="FFF3F3F3"/>
      </patternFill>
    </fill>
    <fill>
      <patternFill patternType="solid">
        <fgColor rgb="FFE7EFF6"/>
        <bgColor rgb="FFE7EFF6"/>
      </patternFill>
    </fill>
    <fill>
      <patternFill patternType="solid">
        <fgColor rgb="FFCC4125"/>
        <bgColor rgb="FFCC4125"/>
      </patternFill>
    </fill>
    <fill>
      <patternFill patternType="solid">
        <fgColor rgb="FFEA9999"/>
        <bgColor rgb="FFEA9999"/>
      </patternFill>
    </fill>
    <fill>
      <patternFill patternType="solid">
        <fgColor rgb="FFFCE5CD"/>
        <bgColor rgb="FFFCE5CD"/>
      </patternFill>
    </fill>
    <fill>
      <patternFill patternType="solid">
        <fgColor rgb="FFE9F4D3"/>
        <bgColor rgb="FFE9F4D3"/>
      </patternFill>
    </fill>
  </fills>
  <borders count="34">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bottom style="thin">
        <color rgb="FFCCCCCC"/>
      </bottom>
    </border>
    <border>
      <bottom style="thin">
        <color rgb="FFCCCCCC"/>
      </bottom>
    </border>
    <border>
      <right style="thin">
        <color rgb="FF666666"/>
      </right>
      <bottom style="thin">
        <color rgb="FFCCCCCC"/>
      </bottom>
    </border>
    <border>
      <left style="thin">
        <color rgb="FF666666"/>
      </left>
    </border>
    <border>
      <right style="thin">
        <color rgb="FF000000"/>
      </right>
    </border>
    <border>
      <left style="thin">
        <color rgb="FF000000"/>
      </left>
    </border>
    <border>
      <right style="thin">
        <color rgb="FF666666"/>
      </right>
    </border>
    <border>
      <left style="thin">
        <color rgb="FF666666"/>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666666"/>
      </right>
      <bottom style="thin">
        <color rgb="FF000000"/>
      </bottom>
    </border>
    <border>
      <top style="thin">
        <color rgb="FF000000"/>
      </top>
    </border>
    <border>
      <left style="thin">
        <color rgb="FFCCCCCC"/>
      </left>
    </border>
    <border>
      <left style="thin">
        <color rgb="FFB7B7B7"/>
      </left>
      <top style="thin">
        <color rgb="FFB7B7B7"/>
      </top>
      <bottom style="thin">
        <color rgb="FFB7B7B7"/>
      </bottom>
    </border>
    <border>
      <top style="thin">
        <color rgb="FFB7B7B7"/>
      </top>
      <bottom style="thin">
        <color rgb="FFB7B7B7"/>
      </bottom>
    </border>
    <border>
      <left style="thin">
        <color rgb="FFCCCCCC"/>
      </left>
      <right style="thin">
        <color rgb="FFCCCCCC"/>
      </right>
      <bottom style="thin">
        <color rgb="FFCCCCCC"/>
      </bottom>
    </border>
    <border>
      <left style="thin">
        <color rgb="FFCCCCCC"/>
      </left>
      <bottom style="thin">
        <color rgb="FFCCCCCC"/>
      </bottom>
    </border>
    <border>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666666"/>
      </left>
      <top style="thin">
        <color rgb="FFCCCCCC"/>
      </top>
    </border>
    <border>
      <right style="thin">
        <color rgb="FF666666"/>
      </right>
      <top style="thin">
        <color rgb="FFCCCCCC"/>
      </top>
    </border>
    <border>
      <left style="thin">
        <color rgb="FF666666"/>
      </left>
      <bottom style="thin">
        <color rgb="FF666666"/>
      </bottom>
    </border>
    <border>
      <bottom style="thin">
        <color rgb="FF666666"/>
      </bottom>
    </border>
    <border>
      <right style="thin">
        <color rgb="FF666666"/>
      </right>
      <bottom style="thin">
        <color rgb="FF666666"/>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0" fillId="0" fontId="4" numFmtId="0" xfId="0" applyAlignment="1" applyFont="1">
      <alignment horizontal="center" readingOrder="0" vertical="center"/>
    </xf>
    <xf borderId="7" fillId="3" fontId="4" numFmtId="0" xfId="0" applyAlignment="1" applyBorder="1" applyFill="1" applyFont="1">
      <alignment horizontal="center" readingOrder="0" vertical="center"/>
    </xf>
    <xf borderId="8" fillId="0" fontId="3" numFmtId="0" xfId="0" applyBorder="1" applyFont="1"/>
    <xf borderId="0" fillId="3" fontId="4" numFmtId="0" xfId="0" applyAlignment="1" applyFont="1">
      <alignment horizontal="center" readingOrder="0" vertical="center"/>
    </xf>
    <xf borderId="9" fillId="3" fontId="4" numFmtId="0" xfId="0" applyAlignment="1" applyBorder="1" applyFont="1">
      <alignment horizontal="center" readingOrder="0" vertical="center"/>
    </xf>
    <xf borderId="10" fillId="0" fontId="3" numFmtId="0" xfId="0" applyBorder="1" applyFont="1"/>
    <xf borderId="7" fillId="0" fontId="3" numFmtId="0" xfId="0" applyBorder="1" applyFont="1"/>
    <xf borderId="9" fillId="0" fontId="3" numFmtId="0" xfId="0" applyBorder="1" applyFont="1"/>
    <xf borderId="0" fillId="0" fontId="5" numFmtId="0" xfId="0" applyAlignment="1" applyFont="1">
      <alignment horizontal="center" vertical="center"/>
    </xf>
    <xf borderId="7" fillId="3" fontId="5" numFmtId="0" xfId="0" applyAlignment="1" applyBorder="1" applyFont="1">
      <alignment horizontal="center" vertical="center"/>
    </xf>
    <xf borderId="0" fillId="3" fontId="5" numFmtId="0" xfId="0" applyAlignment="1" applyFont="1">
      <alignment horizontal="center" vertical="center"/>
    </xf>
    <xf borderId="9" fillId="3" fontId="5" numFmtId="164" xfId="0" applyAlignment="1" applyBorder="1" applyFont="1" applyNumberFormat="1">
      <alignment horizontal="center" vertical="center"/>
    </xf>
    <xf borderId="9" fillId="3" fontId="5" numFmtId="164" xfId="0" applyAlignment="1" applyBorder="1" applyFont="1" applyNumberFormat="1">
      <alignment horizontal="center" vertical="center"/>
    </xf>
    <xf borderId="9" fillId="3" fontId="6" numFmtId="164" xfId="0" applyAlignment="1" applyBorder="1" applyFont="1" applyNumberFormat="1">
      <alignment horizontal="center" vertical="center"/>
    </xf>
    <xf borderId="0" fillId="3" fontId="6" numFmtId="10" xfId="0" applyAlignment="1" applyFont="1" applyNumberFormat="1">
      <alignment horizontal="center"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7" fillId="0" fontId="7" numFmtId="0" xfId="0" applyBorder="1" applyFont="1"/>
    <xf borderId="16" fillId="0" fontId="7" numFmtId="0" xfId="0" applyBorder="1" applyFont="1"/>
    <xf borderId="10" fillId="0" fontId="7" numFmtId="0" xfId="0" applyBorder="1" applyFont="1"/>
    <xf borderId="0" fillId="0" fontId="7" numFmtId="0" xfId="0" applyAlignment="1" applyFont="1">
      <alignment readingOrder="0"/>
    </xf>
    <xf borderId="7" fillId="0" fontId="7" numFmtId="0" xfId="0" applyAlignment="1" applyBorder="1" applyFont="1">
      <alignment readingOrder="0"/>
    </xf>
    <xf borderId="17" fillId="0" fontId="7" numFmtId="0" xfId="0" applyAlignment="1" applyBorder="1" applyFont="1">
      <alignment readingOrder="0"/>
    </xf>
    <xf borderId="17" fillId="0" fontId="7" numFmtId="0" xfId="0" applyBorder="1" applyFont="1"/>
    <xf borderId="0" fillId="0" fontId="7" numFmtId="0" xfId="0" applyFont="1"/>
    <xf borderId="0" fillId="0" fontId="7" numFmtId="10" xfId="0" applyFont="1" applyNumberFormat="1"/>
    <xf borderId="17" fillId="0" fontId="7" numFmtId="0" xfId="0" applyBorder="1" applyFont="1"/>
    <xf borderId="0" fillId="0" fontId="7" numFmtId="165" xfId="0" applyAlignment="1" applyFont="1" applyNumberFormat="1">
      <alignment readingOrder="0"/>
    </xf>
    <xf borderId="0" fillId="0" fontId="7" numFmtId="165" xfId="0" applyFont="1" applyNumberFormat="1"/>
    <xf borderId="0" fillId="0" fontId="8" numFmtId="0" xfId="0" applyAlignment="1" applyFont="1">
      <alignment horizontal="center" readingOrder="0" vertical="center"/>
    </xf>
    <xf borderId="7" fillId="0" fontId="8" numFmtId="0" xfId="0" applyAlignment="1" applyBorder="1" applyFont="1">
      <alignment horizontal="center" readingOrder="0" vertical="center"/>
    </xf>
    <xf borderId="18" fillId="0" fontId="8" numFmtId="0" xfId="0" applyAlignment="1" applyBorder="1" applyFont="1">
      <alignment horizontal="center" readingOrder="0" vertical="center"/>
    </xf>
    <xf borderId="19" fillId="0" fontId="3" numFmtId="0" xfId="0" applyBorder="1" applyFont="1"/>
    <xf borderId="17" fillId="0" fontId="8" numFmtId="0" xfId="0" applyAlignment="1" applyBorder="1" applyFont="1">
      <alignment horizontal="center" readingOrder="0" vertical="center"/>
    </xf>
    <xf borderId="0" fillId="0" fontId="9" numFmtId="0" xfId="0" applyAlignment="1" applyFont="1">
      <alignment horizontal="right" readingOrder="0" shrinkToFit="0" vertical="bottom" wrapText="1"/>
    </xf>
    <xf borderId="0" fillId="0" fontId="10" numFmtId="0" xfId="0" applyAlignment="1" applyFont="1">
      <alignment horizontal="center" readingOrder="0" vertical="center"/>
    </xf>
    <xf borderId="7" fillId="0" fontId="10" numFmtId="0" xfId="0" applyAlignment="1" applyBorder="1" applyFont="1">
      <alignment horizontal="center" readingOrder="0" vertical="center"/>
    </xf>
    <xf borderId="20" fillId="3" fontId="10" numFmtId="0" xfId="0" applyAlignment="1" applyBorder="1" applyFont="1">
      <alignment horizontal="center" readingOrder="0" vertical="center"/>
    </xf>
    <xf borderId="21" fillId="3" fontId="10" numFmtId="0" xfId="0" applyAlignment="1" applyBorder="1" applyFont="1">
      <alignment horizontal="center" readingOrder="0" vertical="center"/>
    </xf>
    <xf borderId="22" fillId="0" fontId="3" numFmtId="0" xfId="0" applyBorder="1" applyFont="1"/>
    <xf borderId="17" fillId="0" fontId="10" numFmtId="0" xfId="0" applyAlignment="1" applyBorder="1" applyFont="1">
      <alignment horizontal="center" readingOrder="0" vertical="center"/>
    </xf>
    <xf borderId="0" fillId="0" fontId="11" numFmtId="0" xfId="0" applyAlignment="1" applyFont="1">
      <alignment horizontal="right" readingOrder="0" shrinkToFit="0" vertical="center" wrapText="1"/>
    </xf>
    <xf borderId="0" fillId="0" fontId="12" numFmtId="0" xfId="0" applyAlignment="1" applyFont="1">
      <alignment horizontal="center"/>
    </xf>
    <xf borderId="7" fillId="0" fontId="12" numFmtId="0" xfId="0" applyAlignment="1" applyBorder="1" applyFont="1">
      <alignment horizontal="center"/>
    </xf>
    <xf borderId="23" fillId="0" fontId="12" numFmtId="0" xfId="0" applyAlignment="1" applyBorder="1" applyFont="1">
      <alignment horizontal="center"/>
    </xf>
    <xf borderId="23" fillId="0" fontId="12" numFmtId="0" xfId="0" applyAlignment="1" applyBorder="1" applyFont="1">
      <alignment horizontal="center"/>
    </xf>
    <xf borderId="24" fillId="0" fontId="12" numFmtId="0" xfId="0" applyAlignment="1" applyBorder="1" applyFont="1">
      <alignment readingOrder="0"/>
    </xf>
    <xf borderId="25" fillId="0" fontId="3" numFmtId="0" xfId="0" applyBorder="1" applyFont="1"/>
    <xf borderId="23" fillId="4" fontId="12" numFmtId="0" xfId="0" applyAlignment="1" applyBorder="1" applyFill="1" applyFont="1">
      <alignment horizontal="center"/>
    </xf>
    <xf borderId="24" fillId="0" fontId="12" numFmtId="0" xfId="0" applyAlignment="1" applyBorder="1" applyFont="1">
      <alignment horizontal="center"/>
    </xf>
    <xf borderId="24" fillId="5" fontId="12" numFmtId="0" xfId="0" applyAlignment="1" applyBorder="1" applyFill="1" applyFont="1">
      <alignment horizontal="center"/>
    </xf>
    <xf borderId="17" fillId="0" fontId="12" numFmtId="0" xfId="0" applyAlignment="1" applyBorder="1" applyFont="1">
      <alignment horizontal="center"/>
    </xf>
    <xf borderId="24" fillId="6" fontId="12" numFmtId="0" xfId="0" applyAlignment="1" applyBorder="1" applyFill="1" applyFont="1">
      <alignment horizontal="center"/>
    </xf>
    <xf borderId="26" fillId="0" fontId="8" numFmtId="0" xfId="0" applyAlignment="1" applyBorder="1" applyFont="1">
      <alignment horizontal="center" readingOrder="0" vertical="center"/>
    </xf>
    <xf borderId="27" fillId="0" fontId="3" numFmtId="0" xfId="0" applyBorder="1" applyFont="1"/>
    <xf borderId="28" fillId="0" fontId="3" numFmtId="0" xfId="0" applyBorder="1" applyFont="1"/>
    <xf borderId="24" fillId="7" fontId="12" numFmtId="0" xfId="0" applyAlignment="1" applyBorder="1" applyFill="1" applyFont="1">
      <alignment horizontal="center"/>
    </xf>
    <xf borderId="21" fillId="0" fontId="3" numFmtId="0" xfId="0" applyBorder="1" applyFont="1"/>
    <xf borderId="23" fillId="3" fontId="10" numFmtId="0" xfId="0" applyAlignment="1" applyBorder="1" applyFont="1">
      <alignment horizontal="center" readingOrder="0"/>
    </xf>
    <xf borderId="24" fillId="3" fontId="10" numFmtId="0" xfId="0" applyAlignment="1" applyBorder="1" applyFont="1">
      <alignment horizontal="center" readingOrder="0"/>
    </xf>
    <xf borderId="23" fillId="0" fontId="12" numFmtId="0" xfId="0" applyAlignment="1" applyBorder="1" applyFont="1">
      <alignment horizontal="center" readingOrder="0"/>
    </xf>
    <xf borderId="24" fillId="0" fontId="12" numFmtId="0" xfId="0" applyAlignment="1" applyBorder="1" applyFont="1">
      <alignment horizontal="left" readingOrder="0"/>
    </xf>
    <xf borderId="23" fillId="0" fontId="12" numFmtId="164" xfId="0" applyAlignment="1" applyBorder="1" applyFont="1" applyNumberFormat="1">
      <alignment horizontal="center"/>
    </xf>
    <xf borderId="23" fillId="0" fontId="12" numFmtId="10" xfId="0" applyAlignment="1" applyBorder="1" applyFont="1" applyNumberFormat="1">
      <alignment horizontal="center"/>
    </xf>
    <xf borderId="23" fillId="0" fontId="12" numFmtId="3" xfId="0" applyAlignment="1" applyBorder="1" applyFont="1" applyNumberFormat="1">
      <alignment horizontal="center"/>
    </xf>
    <xf borderId="0" fillId="0" fontId="13" numFmtId="0" xfId="0" applyAlignment="1" applyFont="1">
      <alignment horizontal="center" readingOrder="0" vertical="center"/>
    </xf>
    <xf borderId="1" fillId="3" fontId="13" numFmtId="0" xfId="0" applyAlignment="1" applyBorder="1" applyFont="1">
      <alignment horizontal="center" readingOrder="0" vertical="center"/>
    </xf>
    <xf borderId="0" fillId="0" fontId="14" numFmtId="0" xfId="0" applyAlignment="1" applyFont="1">
      <alignment horizontal="left" readingOrder="0" shrinkToFit="0" vertical="center" wrapText="1"/>
    </xf>
    <xf borderId="29" fillId="0" fontId="14" numFmtId="0" xfId="0" applyAlignment="1" applyBorder="1" applyFont="1">
      <alignment horizontal="left" readingOrder="0" shrinkToFit="0" vertical="center" wrapText="1"/>
    </xf>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0" fillId="0" fontId="7" numFmtId="0" xfId="0" applyFont="1"/>
    <xf borderId="0" fillId="0" fontId="15" numFmtId="0" xfId="0" applyAlignment="1" applyFont="1">
      <alignment horizontal="center" readingOrder="0" shrinkToFit="0" vertical="center" wrapText="0"/>
    </xf>
    <xf borderId="0" fillId="0" fontId="15" numFmtId="49" xfId="0" applyAlignment="1" applyFont="1" applyNumberFormat="1">
      <alignment horizontal="center" readingOrder="0" shrinkToFit="0" vertical="center" wrapText="0"/>
    </xf>
    <xf borderId="0" fillId="0" fontId="7" numFmtId="0" xfId="0" applyAlignment="1" applyFont="1">
      <alignment horizontal="center" readingOrder="0" shrinkToFit="0" vertical="center" wrapText="0"/>
    </xf>
    <xf borderId="0" fillId="0" fontId="7" numFmtId="10" xfId="0" applyAlignment="1" applyFont="1" applyNumberForma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xf>
    <xf borderId="0" fillId="0"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8" fontId="7" numFmtId="0" xfId="0" applyAlignment="1" applyFill="1" applyFont="1">
      <alignment horizontal="center" readingOrder="0" shrinkToFit="0" vertical="center" wrapText="0"/>
    </xf>
    <xf borderId="0" fillId="0" fontId="7" numFmtId="164" xfId="0" applyAlignment="1" applyFont="1" applyNumberFormat="1">
      <alignment horizontal="center" readingOrder="0" shrinkToFit="0" vertical="center" wrapText="0"/>
    </xf>
    <xf borderId="0" fillId="8" fontId="7" numFmtId="164" xfId="0" applyAlignment="1" applyFont="1" applyNumberFormat="1">
      <alignment horizontal="center" readingOrder="0" shrinkToFit="0" vertical="center" wrapText="0"/>
    </xf>
    <xf borderId="0" fillId="8" fontId="7" numFmtId="166" xfId="0" applyAlignment="1" applyFont="1" applyNumberFormat="1">
      <alignment horizontal="center" readingOrder="0" shrinkToFit="0" vertical="center" wrapText="0"/>
    </xf>
    <xf borderId="0" fillId="0" fontId="7" numFmtId="166" xfId="0" applyAlignment="1" applyFont="1" applyNumberFormat="1">
      <alignment horizontal="center" readingOrder="0" shrinkToFit="0" vertical="center" wrapText="0"/>
    </xf>
    <xf borderId="0" fillId="0" fontId="7" numFmtId="167" xfId="0" applyAlignment="1" applyFont="1" applyNumberFormat="1">
      <alignment horizontal="center" readingOrder="0" shrinkToFit="0" vertical="center" wrapText="0"/>
    </xf>
    <xf borderId="0" fillId="0" fontId="7" numFmtId="0" xfId="0" applyAlignment="1" applyFont="1">
      <alignment horizontal="center" shrinkToFit="0" vertical="center" wrapText="0"/>
    </xf>
    <xf borderId="0" fillId="0" fontId="7" numFmtId="3" xfId="0" applyAlignment="1" applyFont="1" applyNumberFormat="1">
      <alignment horizontal="center" shrinkToFit="0" vertical="center" wrapText="0"/>
    </xf>
    <xf borderId="0" fillId="0" fontId="7" numFmtId="10" xfId="0" applyAlignment="1" applyFont="1" applyNumberFormat="1">
      <alignment horizontal="center" shrinkToFit="0" vertical="center" wrapText="0"/>
    </xf>
    <xf borderId="0" fillId="0" fontId="7" numFmtId="0" xfId="0" applyAlignment="1" applyFont="1">
      <alignment horizontal="center" shrinkToFit="0" vertical="center" wrapText="0"/>
    </xf>
    <xf borderId="0" fillId="8" fontId="7" numFmtId="165" xfId="0" applyAlignment="1" applyFont="1" applyNumberFormat="1">
      <alignment horizontal="center" readingOrder="0" shrinkToFit="0" vertical="center" wrapText="0"/>
    </xf>
    <xf borderId="0" fillId="0" fontId="7" numFmtId="165" xfId="0" applyAlignment="1" applyFont="1" applyNumberFormat="1">
      <alignment horizontal="center" readingOrder="0" shrinkToFit="0" vertical="center" wrapText="0"/>
    </xf>
    <xf borderId="0" fillId="8" fontId="7" numFmtId="168" xfId="0" applyAlignment="1" applyFont="1" applyNumberFormat="1">
      <alignment horizontal="center" readingOrder="0" shrinkToFit="0" vertical="center" wrapText="0"/>
    </xf>
    <xf borderId="0" fillId="0" fontId="7" numFmtId="168" xfId="0" applyAlignment="1" applyFont="1" applyNumberFormat="1">
      <alignment horizontal="center" readingOrder="0" shrinkToFit="0" vertical="center" wrapText="0"/>
    </xf>
    <xf borderId="0" fillId="0" fontId="7" numFmtId="167" xfId="0" applyAlignment="1" applyFont="1" applyNumberFormat="1">
      <alignment horizontal="center" shrinkToFit="0" vertical="center" wrapText="0"/>
    </xf>
    <xf borderId="0" fillId="8" fontId="7" numFmtId="169" xfId="0" applyAlignment="1" applyFont="1" applyNumberFormat="1">
      <alignment horizontal="center" readingOrder="0" shrinkToFit="0" vertical="center" wrapText="0"/>
    </xf>
    <xf borderId="0" fillId="0" fontId="7" numFmtId="169" xfId="0" applyAlignment="1" applyFont="1" applyNumberFormat="1">
      <alignment horizontal="center" readingOrder="0" shrinkToFit="0" vertical="center" wrapText="0"/>
    </xf>
    <xf borderId="0" fillId="0" fontId="7" numFmtId="0" xfId="0" applyAlignment="1" applyFont="1">
      <alignment horizontal="center" shrinkToFit="0" vertical="center" wrapText="0"/>
    </xf>
    <xf borderId="0" fillId="8" fontId="7" numFmtId="0" xfId="0" applyAlignment="1" applyFont="1">
      <alignment horizontal="center" readingOrder="0" shrinkToFit="0" vertical="center" wrapText="0"/>
    </xf>
    <xf borderId="0" fillId="8" fontId="7" numFmtId="170" xfId="0" applyAlignment="1" applyFont="1" applyNumberFormat="1">
      <alignment horizontal="center" readingOrder="0" shrinkToFit="0" vertical="center" wrapText="0"/>
    </xf>
    <xf borderId="0" fillId="0" fontId="7" numFmtId="170" xfId="0" applyAlignment="1" applyFont="1" applyNumberFormat="1">
      <alignment horizontal="center" readingOrder="0" shrinkToFit="0" vertical="center" wrapText="0"/>
    </xf>
    <xf borderId="0" fillId="0" fontId="7" numFmtId="164" xfId="0" applyAlignment="1" applyFont="1" applyNumberFormat="1">
      <alignment horizontal="center" shrinkToFit="0" vertical="center" wrapText="0"/>
    </xf>
    <xf borderId="0" fillId="0" fontId="7" numFmtId="0" xfId="0" applyAlignment="1" applyFont="1">
      <alignment horizontal="center" shrinkToFit="0" vertical="center" wrapText="0"/>
    </xf>
    <xf borderId="0" fillId="8" fontId="7" numFmtId="164" xfId="0" applyAlignment="1" applyFont="1" applyNumberFormat="1">
      <alignment horizontal="center" shrinkToFit="0" vertical="center" wrapText="0"/>
    </xf>
    <xf borderId="0" fillId="0" fontId="15" numFmtId="0" xfId="0" applyAlignment="1" applyFont="1">
      <alignment horizontal="center" readingOrder="0"/>
    </xf>
    <xf borderId="0" fillId="8" fontId="7" numFmtId="171" xfId="0" applyAlignment="1" applyFont="1" applyNumberFormat="1">
      <alignment horizontal="center" readingOrder="0" shrinkToFit="0" vertical="center" wrapText="0"/>
    </xf>
    <xf borderId="0" fillId="0" fontId="7" numFmtId="171" xfId="0" applyAlignment="1" applyFont="1" applyNumberFormat="1">
      <alignment horizontal="center" readingOrder="0" shrinkToFit="0" vertical="center" wrapText="0"/>
    </xf>
    <xf borderId="0" fillId="0" fontId="7" numFmtId="10" xfId="0" applyAlignment="1" applyFont="1" applyNumberFormat="1">
      <alignment horizontal="center"/>
    </xf>
    <xf borderId="0" fillId="0" fontId="16" numFmtId="0" xfId="0" applyAlignment="1" applyFont="1">
      <alignment horizontal="center" readingOrder="0"/>
    </xf>
    <xf borderId="0" fillId="0" fontId="7" numFmtId="164" xfId="0" applyFont="1" applyNumberFormat="1"/>
    <xf borderId="0" fillId="0" fontId="7" numFmtId="166" xfId="0" applyAlignment="1" applyFont="1" applyNumberFormat="1">
      <alignment readingOrder="0"/>
    </xf>
    <xf borderId="0" fillId="0" fontId="7" numFmtId="168" xfId="0" applyAlignment="1" applyFont="1" applyNumberFormat="1">
      <alignment readingOrder="0"/>
    </xf>
    <xf borderId="0" fillId="0" fontId="7" numFmtId="169" xfId="0" applyAlignment="1" applyFont="1" applyNumberFormat="1">
      <alignment readingOrder="0"/>
    </xf>
    <xf borderId="0" fillId="0" fontId="7" numFmtId="170" xfId="0" applyAlignment="1" applyFont="1" applyNumberFormat="1">
      <alignment readingOrder="0"/>
    </xf>
    <xf borderId="0" fillId="0" fontId="7" numFmtId="171" xfId="0" applyAlignment="1" applyFont="1" applyNumberFormat="1">
      <alignment readingOrder="0"/>
    </xf>
    <xf borderId="0" fillId="8" fontId="7" numFmtId="0" xfId="0" applyAlignment="1" applyFont="1">
      <alignment readingOrder="0" shrinkToFit="0" vertical="center" wrapText="0"/>
    </xf>
    <xf borderId="0" fillId="0" fontId="7" numFmtId="0" xfId="0" applyAlignment="1" applyFont="1">
      <alignment readingOrder="0" shrinkToFit="0" vertical="center" wrapText="0"/>
    </xf>
    <xf borderId="0" fillId="0" fontId="7" numFmtId="3" xfId="0" applyAlignment="1" applyFont="1" applyNumberFormat="1">
      <alignment readingOrder="0" shrinkToFit="0" vertical="center" wrapText="0"/>
    </xf>
    <xf borderId="0" fillId="0" fontId="7" numFmtId="3" xfId="0" applyAlignment="1" applyFont="1" applyNumberFormat="1">
      <alignment readingOrder="0"/>
    </xf>
    <xf borderId="0" fillId="0" fontId="7" numFmtId="9" xfId="0" applyAlignment="1" applyFont="1" applyNumberFormat="1">
      <alignment readingOrder="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E9F4D3"/>
          <bgColor rgb="FFE9F4D3"/>
        </patternFill>
      </fill>
      <border/>
    </dxf>
  </dxfs>
  <tableStyles count="2">
    <tableStyle count="4" pivot="0" name="Seasonal_Buys_CLEAN_data-style">
      <tableStyleElement dxfId="1" type="headerRow"/>
      <tableStyleElement dxfId="2" type="firstRowStripe"/>
      <tableStyleElement dxfId="3" type="secondRowStripe"/>
      <tableStyleElement dxfId="4" size="0" type="wholeTable"/>
    </tableStyle>
    <tableStyle count="4" pivot="0" name="OTB_Budg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mn-lt"/>
              </a:defRPr>
            </a:pPr>
            <a:r>
              <a:rPr b="1" sz="3000">
                <a:solidFill>
                  <a:srgbClr val="757575"/>
                </a:solidFill>
                <a:latin typeface="+mn-lt"/>
              </a:rPr>
              <a:t>Ordered VS Forecast Units (Global)</a:t>
            </a:r>
          </a:p>
        </c:rich>
      </c:tx>
      <c:overlay val="0"/>
    </c:title>
    <c:plotArea>
      <c:layout/>
      <c:barChart>
        <c:barDir val="col"/>
        <c:ser>
          <c:idx val="0"/>
          <c:order val="0"/>
          <c:tx>
            <c:strRef>
              <c:f>Inventory_Report!$E$9</c:f>
            </c:strRef>
          </c:tx>
          <c:spPr>
            <a:solidFill>
              <a:schemeClr val="accent1"/>
            </a:solidFill>
            <a:ln cmpd="sng">
              <a:solidFill>
                <a:srgbClr val="000000"/>
              </a:solidFill>
            </a:ln>
          </c:spPr>
          <c:cat>
            <c:strRef>
              <c:f>Inventory_Report!$D$10:$D$21</c:f>
            </c:strRef>
          </c:cat>
          <c:val>
            <c:numRef>
              <c:f>Inventory_Report!$E$10:$E$21</c:f>
              <c:numCache/>
            </c:numRef>
          </c:val>
        </c:ser>
        <c:ser>
          <c:idx val="1"/>
          <c:order val="1"/>
          <c:tx>
            <c:strRef>
              <c:f>Inventory_Report!$F$9</c:f>
            </c:strRef>
          </c:tx>
          <c:spPr>
            <a:solidFill>
              <a:schemeClr val="accent2"/>
            </a:solidFill>
            <a:ln cmpd="sng">
              <a:solidFill>
                <a:srgbClr val="000000"/>
              </a:solidFill>
            </a:ln>
          </c:spPr>
          <c:cat>
            <c:strRef>
              <c:f>Inventory_Report!$D$10:$D$21</c:f>
            </c:strRef>
          </c:cat>
          <c:val>
            <c:numRef>
              <c:f>Inventory_Report!$F$10:$F$21</c:f>
              <c:numCache/>
            </c:numRef>
          </c:val>
        </c:ser>
        <c:axId val="250398375"/>
        <c:axId val="1015735334"/>
      </c:barChart>
      <c:catAx>
        <c:axId val="250398375"/>
        <c:scaling>
          <c:orientation val="minMax"/>
        </c:scaling>
        <c:delete val="0"/>
        <c:axPos val="b"/>
        <c:title>
          <c:tx>
            <c:rich>
              <a:bodyPr/>
              <a:lstStyle/>
              <a:p>
                <a:pPr lvl="0">
                  <a:defRPr b="0" sz="1800">
                    <a:solidFill>
                      <a:srgbClr val="000000"/>
                    </a:solidFill>
                    <a:latin typeface="+mn-lt"/>
                  </a:defRPr>
                </a:pPr>
                <a:r>
                  <a:rPr b="0" sz="1800">
                    <a:solidFill>
                      <a:srgbClr val="000000"/>
                    </a:solidFill>
                    <a:latin typeface="+mn-lt"/>
                  </a:rPr>
                  <a:t>Item Code</a:t>
                </a:r>
              </a:p>
            </c:rich>
          </c:tx>
          <c:overlay val="0"/>
        </c:title>
        <c:numFmt formatCode="General" sourceLinked="1"/>
        <c:majorTickMark val="none"/>
        <c:minorTickMark val="none"/>
        <c:spPr/>
        <c:txPr>
          <a:bodyPr/>
          <a:lstStyle/>
          <a:p>
            <a:pPr lvl="0">
              <a:defRPr b="0" sz="2000">
                <a:solidFill>
                  <a:srgbClr val="000000"/>
                </a:solidFill>
                <a:latin typeface="+mn-lt"/>
              </a:defRPr>
            </a:pPr>
          </a:p>
        </c:txPr>
        <c:crossAx val="1015735334"/>
      </c:catAx>
      <c:valAx>
        <c:axId val="10157353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250398375"/>
      </c:valAx>
    </c:plotArea>
    <c:legend>
      <c:legendPos val="r"/>
      <c:legendEntry>
        <c:idx val="0"/>
        <c:txPr>
          <a:bodyPr/>
          <a:lstStyle/>
          <a:p>
            <a:pPr lvl="0">
              <a:defRPr sz="1800"/>
            </a:pPr>
          </a:p>
        </c:txPr>
      </c:legendEntry>
      <c:legendEntry>
        <c:idx val="1"/>
        <c:txPr>
          <a:bodyPr/>
          <a:lstStyle/>
          <a:p>
            <a:pPr lvl="0">
              <a:defRPr sz="1800"/>
            </a:pPr>
          </a:p>
        </c:txPr>
      </c:legendEntry>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mn-lt"/>
              </a:defRPr>
            </a:pPr>
            <a:r>
              <a:rPr b="1" sz="3000">
                <a:solidFill>
                  <a:srgbClr val="757575"/>
                </a:solidFill>
                <a:latin typeface="+mn-lt"/>
              </a:rPr>
              <a:t>Stock Status Mix</a:t>
            </a:r>
          </a:p>
        </c:rich>
      </c:tx>
      <c:layout>
        <c:manualLayout>
          <c:xMode val="edge"/>
          <c:yMode val="edge"/>
          <c:x val="0.030930537352555704"/>
          <c:y val="0.052118644067796614"/>
        </c:manualLayout>
      </c:layout>
      <c:overlay val="0"/>
    </c:title>
    <c:plotArea>
      <c:layout/>
      <c:pieChart>
        <c:varyColors val="1"/>
        <c:ser>
          <c:idx val="0"/>
          <c:order val="0"/>
          <c:tx>
            <c:strRef>
              <c:f>Inventory_Report!$L$12</c:f>
            </c:strRef>
          </c:tx>
          <c:dPt>
            <c:idx val="0"/>
            <c:spPr>
              <a:solidFill>
                <a:srgbClr val="CC0000"/>
              </a:solidFill>
            </c:spPr>
          </c:dPt>
          <c:dPt>
            <c:idx val="1"/>
            <c:spPr>
              <a:solidFill>
                <a:srgbClr val="38761D"/>
              </a:solidFill>
            </c:spPr>
          </c:dPt>
          <c:dLbls>
            <c:showLegendKey val="0"/>
            <c:showVal val="0"/>
            <c:showCatName val="0"/>
            <c:showSerName val="0"/>
            <c:showPercent val="1"/>
            <c:showBubbleSize val="0"/>
            <c:showLeaderLines val="1"/>
          </c:dLbls>
          <c:cat>
            <c:strRef>
              <c:f>Inventory_Report!$K$13:$K$14</c:f>
            </c:strRef>
          </c:cat>
          <c:val>
            <c:numRef>
              <c:f>Inventory_Report!$L$13:$L$14</c:f>
              <c:numCache/>
            </c:numRef>
          </c:val>
        </c:ser>
        <c:dLbls>
          <c:showLegendKey val="0"/>
          <c:showVal val="0"/>
          <c:showCatName val="0"/>
          <c:showSerName val="0"/>
          <c:showPercent val="0"/>
          <c:showBubbleSize val="0"/>
        </c:dLbls>
        <c:firstSliceAng val="0"/>
      </c:pieChart>
    </c:plotArea>
    <c:legend>
      <c:legendPos val="b"/>
      <c:legendEntry>
        <c:idx val="0"/>
        <c:txPr>
          <a:bodyPr/>
          <a:lstStyle/>
          <a:p>
            <a:pPr lvl="0">
              <a:defRPr sz="1800"/>
            </a:pPr>
          </a:p>
        </c:txPr>
      </c:legendEntry>
      <c:legendEntry>
        <c:idx val="1"/>
        <c:txPr>
          <a:bodyPr/>
          <a:lstStyle/>
          <a:p>
            <a:pPr lvl="0">
              <a:defRPr sz="1800"/>
            </a:pPr>
          </a:p>
        </c:txPr>
      </c:legendEntry>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mn-lt"/>
              </a:defRPr>
            </a:pPr>
            <a:r>
              <a:rPr b="1" sz="3000">
                <a:solidFill>
                  <a:srgbClr val="757575"/>
                </a:solidFill>
                <a:latin typeface="+mn-lt"/>
              </a:rPr>
              <a:t>Avg Margin % vs. BU</a:t>
            </a:r>
          </a:p>
        </c:rich>
      </c:tx>
      <c:overlay val="0"/>
    </c:title>
    <c:plotArea>
      <c:layout/>
      <c:barChart>
        <c:barDir val="bar"/>
        <c:ser>
          <c:idx val="0"/>
          <c:order val="0"/>
          <c:tx>
            <c:strRef>
              <c:f>Inventory_Report!$S$9</c:f>
            </c:strRef>
          </c:tx>
          <c:spPr>
            <a:solidFill>
              <a:schemeClr val="accent1"/>
            </a:solidFill>
            <a:ln cmpd="sng">
              <a:solidFill>
                <a:srgbClr val="000000"/>
              </a:solidFill>
            </a:ln>
          </c:spPr>
          <c:dPt>
            <c:idx val="1"/>
            <c:spPr>
              <a:solidFill>
                <a:srgbClr val="FF9900"/>
              </a:solidFill>
              <a:ln cmpd="sng">
                <a:solidFill>
                  <a:srgbClr val="000000"/>
                </a:solidFill>
              </a:ln>
            </c:spPr>
          </c:dPt>
          <c:dPt>
            <c:idx val="2"/>
            <c:spPr>
              <a:solidFill>
                <a:srgbClr val="6AA84F"/>
              </a:solidFill>
              <a:ln cmpd="sng">
                <a:solidFill>
                  <a:srgbClr val="000000"/>
                </a:solidFill>
              </a:ln>
            </c:spPr>
          </c:dPt>
          <c:cat>
            <c:strRef>
              <c:f>Inventory_Report!$R$10:$R$12</c:f>
            </c:strRef>
          </c:cat>
          <c:val>
            <c:numRef>
              <c:f>Inventory_Report!$S$10:$S$12</c:f>
              <c:numCache/>
            </c:numRef>
          </c:val>
        </c:ser>
        <c:axId val="1583132620"/>
        <c:axId val="2120590208"/>
      </c:barChart>
      <c:catAx>
        <c:axId val="1583132620"/>
        <c:scaling>
          <c:orientation val="maxMin"/>
        </c:scaling>
        <c:delete val="0"/>
        <c:axPos val="l"/>
        <c:title>
          <c:tx>
            <c:rich>
              <a:bodyPr/>
              <a:lstStyle/>
              <a:p>
                <a:pPr lvl="0">
                  <a:defRPr b="0" sz="1800">
                    <a:solidFill>
                      <a:srgbClr val="000000"/>
                    </a:solidFill>
                    <a:latin typeface="+mn-lt"/>
                  </a:defRPr>
                </a:pPr>
                <a:r>
                  <a:rPr b="0" sz="1800">
                    <a:solidFill>
                      <a:srgbClr val="000000"/>
                    </a:solidFill>
                    <a:latin typeface="+mn-lt"/>
                  </a:rPr>
                  <a:t/>
                </a:r>
              </a:p>
            </c:rich>
          </c:tx>
          <c:overlay val="0"/>
        </c:title>
        <c:numFmt formatCode="General" sourceLinked="1"/>
        <c:majorTickMark val="none"/>
        <c:minorTickMark val="none"/>
        <c:spPr/>
        <c:txPr>
          <a:bodyPr/>
          <a:lstStyle/>
          <a:p>
            <a:pPr lvl="0">
              <a:defRPr b="0" sz="2000">
                <a:solidFill>
                  <a:srgbClr val="000000"/>
                </a:solidFill>
                <a:latin typeface="+mn-lt"/>
              </a:defRPr>
            </a:pPr>
          </a:p>
        </c:txPr>
        <c:crossAx val="2120590208"/>
      </c:catAx>
      <c:valAx>
        <c:axId val="21205902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800">
                    <a:solidFill>
                      <a:srgbClr val="000000"/>
                    </a:solidFill>
                    <a:latin typeface="+mn-lt"/>
                  </a:defRPr>
                </a:pPr>
                <a:r>
                  <a:rPr b="0" sz="180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1583132620"/>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mn-lt"/>
              </a:defRPr>
            </a:pPr>
            <a:r>
              <a:rPr b="1" sz="3000">
                <a:solidFill>
                  <a:srgbClr val="757575"/>
                </a:solidFill>
                <a:latin typeface="+mn-lt"/>
              </a:rPr>
              <a:t>Units by Delivery Date</a:t>
            </a:r>
          </a:p>
        </c:rich>
      </c:tx>
      <c:layout>
        <c:manualLayout>
          <c:xMode val="edge"/>
          <c:yMode val="edge"/>
          <c:x val="0.02925"/>
          <c:y val="0.05"/>
        </c:manualLayout>
      </c:layout>
      <c:overlay val="0"/>
    </c:title>
    <c:plotArea>
      <c:layout/>
      <c:lineChart>
        <c:varyColors val="0"/>
        <c:ser>
          <c:idx val="0"/>
          <c:order val="0"/>
          <c:tx>
            <c:strRef>
              <c:f>Inventory_Report!$S$24</c:f>
            </c:strRef>
          </c:tx>
          <c:spPr>
            <a:ln cmpd="sng">
              <a:solidFill>
                <a:srgbClr val="4285F4"/>
              </a:solidFill>
            </a:ln>
          </c:spPr>
          <c:marker>
            <c:symbol val="none"/>
          </c:marker>
          <c:cat>
            <c:strRef>
              <c:f>Inventory_Report!$R$25:$R$29</c:f>
            </c:strRef>
          </c:cat>
          <c:val>
            <c:numRef>
              <c:f>Inventory_Report!$S$25:$S$29</c:f>
              <c:numCache/>
            </c:numRef>
          </c:val>
          <c:smooth val="0"/>
        </c:ser>
        <c:axId val="1059228355"/>
        <c:axId val="753953935"/>
      </c:lineChart>
      <c:catAx>
        <c:axId val="1059228355"/>
        <c:scaling>
          <c:orientation val="minMax"/>
        </c:scaling>
        <c:delete val="0"/>
        <c:axPos val="b"/>
        <c:title>
          <c:tx>
            <c:rich>
              <a:bodyPr/>
              <a:lstStyle/>
              <a:p>
                <a:pPr lvl="0">
                  <a:defRPr b="0" sz="1800">
                    <a:solidFill>
                      <a:srgbClr val="000000"/>
                    </a:solidFill>
                    <a:latin typeface="+mn-lt"/>
                  </a:defRPr>
                </a:pPr>
                <a:r>
                  <a:rPr b="0" sz="1800">
                    <a:solidFill>
                      <a:srgbClr val="000000"/>
                    </a:solidFill>
                    <a:latin typeface="+mn-lt"/>
                  </a:rPr>
                  <a:t/>
                </a:r>
              </a:p>
            </c:rich>
          </c:tx>
          <c:overlay val="0"/>
        </c:title>
        <c:numFmt formatCode="General" sourceLinked="1"/>
        <c:majorTickMark val="none"/>
        <c:minorTickMark val="none"/>
        <c:spPr/>
        <c:txPr>
          <a:bodyPr rot="-1800000"/>
          <a:lstStyle/>
          <a:p>
            <a:pPr lvl="0">
              <a:defRPr b="0" sz="1400">
                <a:solidFill>
                  <a:srgbClr val="000000"/>
                </a:solidFill>
                <a:latin typeface="+mn-lt"/>
              </a:defRPr>
            </a:pPr>
          </a:p>
        </c:txPr>
        <c:crossAx val="753953935"/>
      </c:catAx>
      <c:valAx>
        <c:axId val="753953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800">
                    <a:solidFill>
                      <a:srgbClr val="000000"/>
                    </a:solidFill>
                    <a:latin typeface="+mn-lt"/>
                  </a:defRPr>
                </a:pPr>
                <a:r>
                  <a:rPr b="0" sz="1800">
                    <a:solidFill>
                      <a:srgbClr val="000000"/>
                    </a:solidFill>
                    <a:latin typeface="+mn-lt"/>
                  </a:rPr>
                  <a:t/>
                </a:r>
              </a:p>
            </c:rich>
          </c:tx>
          <c:layout>
            <c:manualLayout>
              <c:xMode val="edge"/>
              <c:yMode val="edge"/>
              <c:x val="0.03091666666666667"/>
              <c:y val="0.1668912848158131"/>
            </c:manualLayout>
          </c:layout>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105922835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7</xdr:row>
      <xdr:rowOff>180975</xdr:rowOff>
    </xdr:from>
    <xdr:ext cx="7962900" cy="4924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952500</xdr:colOff>
      <xdr:row>8</xdr:row>
      <xdr:rowOff>19050</xdr:rowOff>
    </xdr:from>
    <xdr:ext cx="7962900" cy="49244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47625</xdr:colOff>
      <xdr:row>7</xdr:row>
      <xdr:rowOff>57150</xdr:rowOff>
    </xdr:from>
    <xdr:ext cx="5391150" cy="33337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704850</xdr:colOff>
      <xdr:row>19</xdr:row>
      <xdr:rowOff>190500</xdr:rowOff>
    </xdr:from>
    <xdr:ext cx="6457950" cy="32385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15" sheet="Seasonal_Buys_CLEAN_data"/>
  </cacheSource>
  <cacheFields>
    <cacheField name="BU" numFmtId="0">
      <sharedItems>
        <s v="DTC"/>
        <s v="WH"/>
        <s v="INT"/>
      </sharedItems>
    </cacheField>
    <cacheField name="Item Code" numFmtId="0">
      <sharedItems containsSemiMixedTypes="0" containsString="0" containsNumber="1" containsInteger="1">
        <n v="1001.0"/>
        <n v="1002.0"/>
        <n v="1003.0"/>
        <n v="1004.0"/>
        <n v="1005.0"/>
        <n v="1006.0"/>
        <n v="1007.0"/>
        <n v="1008.0"/>
        <n v="1009.0"/>
        <n v="1010.0"/>
        <n v="1011.0"/>
        <n v="1012.0"/>
      </sharedItems>
    </cacheField>
    <cacheField name="Item Description" numFmtId="0">
      <sharedItems>
        <s v="Floral Dress S"/>
        <s v="Floral Dress M"/>
        <s v="Denim Jacket L"/>
        <s v="Linen Pants M"/>
        <s v="Silk Blouse S"/>
        <s v="Maxi Skirt L"/>
        <s v="Casual Tee S"/>
        <s v="Chino Pants M"/>
        <s v="Summer Dress L"/>
        <s v="Cardigan M"/>
        <s v="Wrap Skirt S"/>
        <s v="Blouse M"/>
      </sharedItems>
    </cacheField>
    <cacheField name="Category" numFmtId="0">
      <sharedItems>
        <s v="Dresses"/>
        <s v="Jackets"/>
        <s v="Pants"/>
        <s v="Tops"/>
        <s v="Skirts"/>
      </sharedItems>
    </cacheField>
    <cacheField name="Order Qty" numFmtId="0">
      <sharedItems containsString="0" containsBlank="1" containsNumber="1" containsInteger="1">
        <n v="50.0"/>
        <n v="40.0"/>
        <n v="60.0"/>
        <n v="20.0"/>
        <n v="25.0"/>
        <m/>
        <n v="15.0"/>
        <n v="30.0"/>
        <n v="35.0"/>
        <n v="18.0"/>
      </sharedItems>
    </cacheField>
    <cacheField name="Clean Qty" numFmtId="0">
      <sharedItems containsSemiMixedTypes="0" containsString="0" containsNumber="1" containsInteger="1">
        <n v="50.0"/>
        <n v="40.0"/>
        <n v="60.0"/>
        <n v="20.0"/>
        <n v="25.0"/>
        <n v="15.0"/>
        <n v="30.0"/>
        <n v="35.0"/>
        <n v="18.0"/>
      </sharedItems>
    </cacheField>
    <cacheField name="Unit Cost" numFmtId="164">
      <sharedItems containsString="0" containsBlank="1" containsNumber="1">
        <n v="29.99"/>
        <n v="49.99"/>
        <n v="34.99"/>
        <m/>
        <n v="39.99"/>
        <n v="19.99"/>
        <n v="32.99"/>
      </sharedItems>
    </cacheField>
    <cacheField name=" Clean Unit Cost" numFmtId="164">
      <sharedItems containsSemiMixedTypes="0" containsString="0" containsNumber="1">
        <n v="29.99"/>
        <n v="49.99"/>
        <n v="34.99"/>
        <n v="40.0"/>
        <n v="39.99"/>
        <n v="19.99"/>
        <n v="32.99"/>
      </sharedItems>
    </cacheField>
    <cacheField name="Total Cost" numFmtId="164">
      <sharedItems containsString="0" containsBlank="1" containsNumber="1">
        <n v="1499.5"/>
        <n v="1199.6"/>
        <n v="1799.4"/>
        <n v="999.8"/>
        <n v="749.75"/>
        <n v="699.8"/>
        <n v="600.0"/>
        <n v="1199.7"/>
        <n v="699.65"/>
        <n v="874.75"/>
        <n v="1059.6"/>
        <m/>
        <n v="599.85"/>
        <n v="629.82"/>
      </sharedItems>
    </cacheField>
    <cacheField name="Clean Total Cost" numFmtId="164">
      <sharedItems containsSemiMixedTypes="0" containsString="0" containsNumber="1">
        <n v="1499.5"/>
        <n v="1199.6"/>
        <n v="1799.4"/>
        <n v="999.8"/>
        <n v="749.75"/>
        <n v="699.8"/>
        <n v="600.0"/>
        <n v="1199.7"/>
        <n v="699.65"/>
        <n v="874.75"/>
        <n v="1059.6"/>
        <n v="999.8000000000001"/>
        <n v="599.85"/>
        <n v="629.82"/>
      </sharedItems>
    </cacheField>
    <cacheField name="PO #" numFmtId="0">
      <sharedItems containsBlank="1">
        <s v="PO12345"/>
        <s v="PO12346"/>
        <s v="PO22345"/>
        <s v="PO22346"/>
        <s v="PO32345"/>
        <s v="PO12347"/>
        <s v="PO22347"/>
        <m/>
        <s v="PO12348"/>
        <s v="PO22348"/>
        <s v="PO32347"/>
        <s v="PO12349"/>
        <s v="PO22349"/>
        <s v="PO32348"/>
      </sharedItems>
    </cacheField>
    <cacheField name="Clean PO #" numFmtId="166">
      <sharedItems>
        <s v="PO12345"/>
        <s v="PO12346"/>
        <s v="PO22345"/>
        <s v="PO22346"/>
        <s v="PO32345"/>
        <s v="PO12347"/>
        <s v="PO22347"/>
        <s v="PO_TEMP_9"/>
        <s v="PO12348"/>
        <s v="PO22348"/>
        <s v="PO32347"/>
        <s v="PO12349"/>
        <s v="PO22349"/>
        <s v="PO32348"/>
      </sharedItems>
    </cacheField>
    <cacheField name="Delivery Date" numFmtId="166">
      <sharedItems containsSemiMixedTypes="0" containsDate="1" containsString="0">
        <d v="2026-06-15T00:00:00Z"/>
        <d v="2026-06-14T00:00:00Z"/>
        <d v="2026-06-20T00:00:00Z"/>
        <d v="2026-06-18T00:00:00Z"/>
        <d v="2026-06-17T00:00:00Z"/>
        <d v="2026-06-22T00:00:00Z"/>
        <d v="2026-06-19T00:00:00Z"/>
        <d v="2026-06-16T00:00:00Z"/>
        <d v="2026-06-21T00:00:00Z"/>
        <d v="2026-06-23T00:00:00Z"/>
      </sharedItems>
    </cacheField>
    <cacheField name="Standarized Delivery Dates" numFmtId="167">
      <sharedItems containsSemiMixedTypes="0" containsDate="1" containsString="0">
        <d v="2026-06-15T00:00:00Z"/>
        <d v="2026-06-14T00:00:00Z"/>
        <d v="2026-06-20T00:00:00Z"/>
        <d v="2026-06-18T00:00:00Z"/>
        <d v="2026-06-17T00:00:00Z"/>
        <d v="2026-06-22T00:00:00Z"/>
        <d v="2026-06-19T00:00:00Z"/>
        <d v="2026-06-16T00:00:00Z"/>
        <d v="2026-06-21T00:00:00Z"/>
        <d v="2026-06-23T00:00:00Z"/>
      </sharedItems>
    </cacheField>
    <cacheField name="Comments" numFmtId="0">
      <sharedItems containsBlank="1">
        <s v="Late confirmation"/>
        <s v="Confirmed"/>
        <m/>
        <s v="Qty missing"/>
        <s v="Unit cost missing"/>
        <s v="PO # missing"/>
        <s v="Total cost missing"/>
      </sharedItems>
    </cacheField>
    <cacheField name="Forecast Units" numFmtId="0">
      <sharedItems containsSemiMixedTypes="0" containsString="0" containsNumber="1" containsInteger="1">
        <n v="60.0"/>
        <n v="50.0"/>
        <n v="25.0"/>
        <n v="20.0"/>
        <n v="35.0"/>
        <n v="40.0"/>
        <n v="30.0"/>
        <n v="18.0"/>
      </sharedItems>
    </cacheField>
    <cacheField name="Stock Status" numFmtId="0">
      <sharedItems>
        <s v="Understock"/>
        <s v="Balanced"/>
      </sharedItems>
    </cacheField>
    <cacheField name="Remaining OTB" numFmtId="3">
      <sharedItems containsSemiMixedTypes="0" containsString="0" containsNumber="1" containsInteger="1">
        <n v="12000.0"/>
        <n v="18000.0"/>
        <n v="7000.0"/>
        <n v="9000.0"/>
        <n v="5000.0"/>
        <n v="3000.0"/>
        <n v="2000.0"/>
        <n v="4000.0"/>
        <n v="7500.0"/>
      </sharedItems>
    </cacheField>
    <cacheField name="OTB Status" numFmtId="0">
      <sharedItems>
        <s v="Within Budget"/>
      </sharedItems>
    </cacheField>
    <cacheField name="Forecast Revenue" numFmtId="3">
      <sharedItems containsSemiMixedTypes="0" containsString="0" containsNumber="1">
        <n v="1800.0"/>
        <n v="1500.0"/>
        <n v="1250.0"/>
        <n v="875.0"/>
        <n v="800.0"/>
        <n v="1400.0"/>
        <n v="799.6"/>
        <n v="989.7"/>
        <n v="1200.0"/>
        <n v="630.0"/>
      </sharedItems>
    </cacheField>
    <cacheField name="Margin $" numFmtId="3">
      <sharedItems containsSemiMixedTypes="0" containsString="0" containsNumber="1">
        <n v="300.5"/>
        <n v="300.4000000000001"/>
        <n v="0.599999999999909"/>
        <n v="250.20000000000005"/>
        <n v="750.25"/>
        <n v="175.20000000000005"/>
        <n v="200.0"/>
        <n v="200.29999999999995"/>
        <n v="99.95000000000005"/>
        <n v="0.25"/>
        <n v="-69.89999999999986"/>
        <n v="200.19999999999993"/>
        <n v="200.14999999999998"/>
        <n v="0.17999999999994998"/>
      </sharedItems>
    </cacheField>
    <cacheField name="Margin %" numFmtId="10">
      <sharedItems containsSemiMixedTypes="0" containsString="0" containsNumber="1">
        <n v="0.16694444444444445"/>
        <n v="0.20026666666666673"/>
        <n v="3.333333333332828E-4"/>
        <n v="0.20016000000000003"/>
        <n v="0.5001666666666666"/>
        <n v="0.20022857142857148"/>
        <n v="0.25"/>
        <n v="0.14307142857142854"/>
        <n v="0.12500000000000006"/>
        <n v="2.8571428571428574E-4"/>
        <n v="-0.07062746286753548"/>
        <n v="0.16683333333333328"/>
        <n v="0.25018749999999995"/>
        <n v="2.857142857142063E-4"/>
      </sharedItems>
    </cacheField>
    <cacheField name="Inventory Action" numFmtId="0">
      <sharedItems>
        <s v="Deficit - Consider Transfer"/>
        <s v="Balanced"/>
      </sharedItems>
    </cacheField>
    <cacheField name="Qty Variance" numFmtId="0">
      <sharedItems containsSemiMixedTypes="0" containsString="0" containsNumber="1" containsInteger="1">
        <n v="-10.0"/>
        <n v="0.0"/>
        <n v="-5.0"/>
        <n v="-25.0"/>
      </sharedItems>
    </cacheField>
    <cacheField name="Variance Flag" numFmtId="0">
      <sharedItems>
        <s v="Need Units"/>
        <s v="On Plan"/>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easonal_Buys_Pivot Table" cacheId="0" dataCaption="" compact="0" compactData="0">
  <location ref="A1:E14" firstHeaderRow="0" firstDataRow="3" firstDataCol="0"/>
  <pivotFields>
    <pivotField name="BU" compact="0" outline="0" multipleItemSelectionAllowed="1" showAll="0">
      <items>
        <item x="0"/>
        <item x="1"/>
        <item x="2"/>
        <item t="default"/>
      </items>
    </pivotField>
    <pivotField name="Sea" axis="axisRow" compact="0" outline="0" multipleItemSelectionAllowed="1" showAll="0" sortType="ascending" defaultSubtotal="0">
      <items>
        <item x="0"/>
        <item x="1"/>
        <item x="2"/>
        <item x="3"/>
        <item x="4"/>
        <item x="5"/>
        <item x="6"/>
        <item x="7"/>
        <item x="8"/>
        <item x="9"/>
        <item x="10"/>
        <item x="11"/>
      </items>
    </pivotField>
    <pivotField name="Item Description" axis="axisRow" compact="0" outline="0" multipleItemSelectionAllowed="1" showAll="0" sortType="ascending">
      <items>
        <item x="11"/>
        <item x="9"/>
        <item x="6"/>
        <item x="7"/>
        <item x="2"/>
        <item x="1"/>
        <item x="0"/>
        <item x="3"/>
        <item x="5"/>
        <item x="4"/>
        <item x="8"/>
        <item x="10"/>
        <item t="default"/>
      </items>
    </pivotField>
    <pivotField name="Category" compact="0" outline="0" multipleItemSelectionAllowed="1" showAll="0">
      <items>
        <item x="0"/>
        <item x="1"/>
        <item x="2"/>
        <item x="3"/>
        <item x="4"/>
        <item t="default"/>
      </items>
    </pivotField>
    <pivotField name="Order Qty" compact="0" outline="0" multipleItemSelectionAllowed="1" showAll="0">
      <items>
        <item x="0"/>
        <item x="1"/>
        <item x="2"/>
        <item x="3"/>
        <item x="4"/>
        <item x="5"/>
        <item x="6"/>
        <item x="7"/>
        <item x="8"/>
        <item x="9"/>
        <item t="default"/>
      </items>
    </pivotField>
    <pivotField name="Clean Qty" dataField="1" compact="0" outline="0" multipleItemSelectionAllowed="1" showAll="0">
      <items>
        <item x="0"/>
        <item x="1"/>
        <item x="2"/>
        <item x="3"/>
        <item x="4"/>
        <item x="5"/>
        <item x="6"/>
        <item x="7"/>
        <item x="8"/>
        <item t="default"/>
      </items>
    </pivotField>
    <pivotField name="Unit Cost" compact="0" numFmtId="164" outline="0" multipleItemSelectionAllowed="1" showAll="0">
      <items>
        <item x="0"/>
        <item x="1"/>
        <item x="2"/>
        <item x="3"/>
        <item x="4"/>
        <item x="5"/>
        <item x="6"/>
        <item t="default"/>
      </items>
    </pivotField>
    <pivotField name=" Clean Unit Cost" dataField="1" compact="0" numFmtId="164" outline="0" multipleItemSelectionAllowed="1" showAll="0">
      <items>
        <item x="0"/>
        <item x="1"/>
        <item x="2"/>
        <item x="3"/>
        <item x="4"/>
        <item x="5"/>
        <item x="6"/>
        <item t="default"/>
      </items>
    </pivotField>
    <pivotField name="Total Cost" compact="0" numFmtId="164" outline="0" multipleItemSelectionAllowed="1" showAll="0">
      <items>
        <item x="0"/>
        <item x="1"/>
        <item x="2"/>
        <item x="3"/>
        <item x="4"/>
        <item x="5"/>
        <item x="6"/>
        <item x="7"/>
        <item x="8"/>
        <item x="9"/>
        <item x="10"/>
        <item x="11"/>
        <item x="12"/>
        <item x="13"/>
        <item t="default"/>
      </items>
    </pivotField>
    <pivotField name="Clean Total Cost" dataField="1" compact="0" numFmtId="164" outline="0" multipleItemSelectionAllowed="1" showAll="0">
      <items>
        <item x="0"/>
        <item x="1"/>
        <item x="2"/>
        <item x="3"/>
        <item x="4"/>
        <item x="5"/>
        <item x="6"/>
        <item x="7"/>
        <item x="8"/>
        <item x="9"/>
        <item x="10"/>
        <item x="11"/>
        <item x="12"/>
        <item x="13"/>
        <item t="default"/>
      </items>
    </pivotField>
    <pivotField name="PO #" compact="0" outline="0" multipleItemSelectionAllowed="1" showAll="0">
      <items>
        <item x="0"/>
        <item x="1"/>
        <item x="2"/>
        <item x="3"/>
        <item x="4"/>
        <item x="5"/>
        <item x="6"/>
        <item x="7"/>
        <item x="8"/>
        <item x="9"/>
        <item x="10"/>
        <item x="11"/>
        <item x="12"/>
        <item x="13"/>
        <item t="default"/>
      </items>
    </pivotField>
    <pivotField name="Clean PO #" compact="0" numFmtId="166" outline="0" multipleItemSelectionAllowed="1" showAll="0">
      <items>
        <item x="0"/>
        <item x="1"/>
        <item x="2"/>
        <item x="3"/>
        <item x="4"/>
        <item x="5"/>
        <item x="6"/>
        <item x="7"/>
        <item x="8"/>
        <item x="9"/>
        <item x="10"/>
        <item x="11"/>
        <item x="12"/>
        <item x="13"/>
        <item t="default"/>
      </items>
    </pivotField>
    <pivotField name="Delivery Date" compact="0" numFmtId="166" outline="0" multipleItemSelectionAllowed="1" showAll="0">
      <items>
        <item x="0"/>
        <item x="1"/>
        <item x="2"/>
        <item x="3"/>
        <item x="4"/>
        <item x="5"/>
        <item x="6"/>
        <item x="7"/>
        <item x="8"/>
        <item x="9"/>
        <item t="default"/>
      </items>
    </pivotField>
    <pivotField name="Standarized Delivery Dates" compact="0" numFmtId="167" outline="0" multipleItemSelectionAllowed="1" showAll="0">
      <items>
        <item x="0"/>
        <item x="1"/>
        <item x="2"/>
        <item x="3"/>
        <item x="4"/>
        <item x="5"/>
        <item x="6"/>
        <item x="7"/>
        <item x="8"/>
        <item x="9"/>
        <item t="default"/>
      </items>
    </pivotField>
    <pivotField name="Comments" compact="0" outline="0" multipleItemSelectionAllowed="1" showAll="0">
      <items>
        <item x="0"/>
        <item x="1"/>
        <item x="2"/>
        <item x="3"/>
        <item x="4"/>
        <item x="5"/>
        <item x="6"/>
        <item t="default"/>
      </items>
    </pivotField>
    <pivotField name="Forecast Units" compact="0" outline="0" multipleItemSelectionAllowed="1" showAll="0">
      <items>
        <item x="0"/>
        <item x="1"/>
        <item x="2"/>
        <item x="3"/>
        <item x="4"/>
        <item x="5"/>
        <item x="6"/>
        <item x="7"/>
        <item t="default"/>
      </items>
    </pivotField>
    <pivotField name="Stock Status" compact="0" outline="0" multipleItemSelectionAllowed="1" showAll="0">
      <items>
        <item x="0"/>
        <item x="1"/>
        <item t="default"/>
      </items>
    </pivotField>
    <pivotField name="Remaining OTB" compact="0" numFmtId="3" outline="0" multipleItemSelectionAllowed="1" showAll="0">
      <items>
        <item x="0"/>
        <item x="1"/>
        <item x="2"/>
        <item x="3"/>
        <item x="4"/>
        <item x="5"/>
        <item x="6"/>
        <item x="7"/>
        <item x="8"/>
        <item t="default"/>
      </items>
    </pivotField>
    <pivotField name="OTB Status" compact="0" outline="0" multipleItemSelectionAllowed="1" showAll="0">
      <items>
        <item x="0"/>
        <item t="default"/>
      </items>
    </pivotField>
    <pivotField name="Forecast Revenue" compact="0" numFmtId="3" outline="0" multipleItemSelectionAllowed="1" showAll="0">
      <items>
        <item x="0"/>
        <item x="1"/>
        <item x="2"/>
        <item x="3"/>
        <item x="4"/>
        <item x="5"/>
        <item x="6"/>
        <item x="7"/>
        <item x="8"/>
        <item x="9"/>
        <item t="default"/>
      </items>
    </pivotField>
    <pivotField name="Margin $" compact="0" numFmtId="3" outline="0" multipleItemSelectionAllowed="1" showAll="0">
      <items>
        <item x="0"/>
        <item x="1"/>
        <item x="2"/>
        <item x="3"/>
        <item x="4"/>
        <item x="5"/>
        <item x="6"/>
        <item x="7"/>
        <item x="8"/>
        <item x="9"/>
        <item x="10"/>
        <item x="11"/>
        <item x="12"/>
        <item x="13"/>
        <item t="default"/>
      </items>
    </pivotField>
    <pivotField name="Margin %" compact="0" numFmtId="10" outline="0" multipleItemSelectionAllowed="1" showAll="0">
      <items>
        <item x="0"/>
        <item x="1"/>
        <item x="2"/>
        <item x="3"/>
        <item x="4"/>
        <item x="5"/>
        <item x="6"/>
        <item x="7"/>
        <item x="8"/>
        <item x="9"/>
        <item x="10"/>
        <item x="11"/>
        <item x="12"/>
        <item x="13"/>
        <item t="default"/>
      </items>
    </pivotField>
    <pivotField name="Inventory Action" compact="0" outline="0" multipleItemSelectionAllowed="1" showAll="0">
      <items>
        <item x="0"/>
        <item x="1"/>
        <item t="default"/>
      </items>
    </pivotField>
    <pivotField name="Qty Variance" compact="0" outline="0" multipleItemSelectionAllowed="1" showAll="0">
      <items>
        <item x="0"/>
        <item x="1"/>
        <item x="2"/>
        <item x="3"/>
        <item t="default"/>
      </items>
    </pivotField>
    <pivotField name="Variance Flag" compact="0" outline="0" multipleItemSelectionAllowed="1" showAll="0">
      <items>
        <item x="0"/>
        <item x="1"/>
        <item t="default"/>
      </items>
    </pivotField>
  </pivotFields>
  <rowFields>
    <field x="1"/>
    <field x="2"/>
  </rowFields>
  <colFields>
    <field x="-2"/>
  </colFields>
  <dataFields>
    <dataField name="SUM of Clean Qty" fld="5" baseField="0"/>
    <dataField name="SUM of Clean Total Cost" fld="9" baseField="0"/>
    <dataField name="AVERAGE of  Clean Unit Cost" fld="7" subtotal="average" baseField="0"/>
  </dataFields>
</pivotTableDefinition>
</file>

<file path=xl/pivotTables/pivotTable2.xml><?xml version="1.0" encoding="utf-8"?>
<pivotTableDefinition xmlns="http://schemas.openxmlformats.org/spreadsheetml/2006/main" name="BU_Insights_Pivot Table" cacheId="0" dataCaption="" compact="0" compactData="0">
  <location ref="A1:S7" firstHeaderRow="0" firstDataRow="2" firstDataCol="1"/>
  <pivotFields>
    <pivotField name="BU" axis="axisRow" compact="0" outline="0" multipleItemSelectionAllowed="1" showAll="0" sortType="ascending">
      <items>
        <item x="0"/>
        <item x="2"/>
        <item x="1"/>
        <item t="default"/>
      </items>
    </pivotField>
    <pivotField name="Item Code" compact="0" outline="0" multipleItemSelectionAllowed="1" showAll="0">
      <items>
        <item x="0"/>
        <item x="1"/>
        <item x="2"/>
        <item x="3"/>
        <item x="4"/>
        <item x="5"/>
        <item x="6"/>
        <item x="7"/>
        <item x="8"/>
        <item x="9"/>
        <item x="10"/>
        <item x="11"/>
        <item t="default"/>
      </items>
    </pivotField>
    <pivotField name="Item Description" compact="0" outline="0" multipleItemSelectionAllowed="1" showAll="0">
      <items>
        <item x="0"/>
        <item x="1"/>
        <item x="2"/>
        <item x="3"/>
        <item x="4"/>
        <item x="5"/>
        <item x="6"/>
        <item x="7"/>
        <item x="8"/>
        <item x="9"/>
        <item x="10"/>
        <item x="11"/>
        <item t="default"/>
      </items>
    </pivotField>
    <pivotField name="Category" axis="axisCol" compact="0" outline="0" multipleItemSelectionAllowed="1" showAll="0" sortType="ascending">
      <items>
        <item x="0"/>
        <item x="1"/>
        <item x="2"/>
        <item x="4"/>
        <item x="3"/>
        <item t="default"/>
      </items>
    </pivotField>
    <pivotField name="Order Qty" compact="0" outline="0" multipleItemSelectionAllowed="1" showAll="0">
      <items>
        <item x="0"/>
        <item x="1"/>
        <item x="2"/>
        <item x="3"/>
        <item x="4"/>
        <item x="5"/>
        <item x="6"/>
        <item x="7"/>
        <item x="8"/>
        <item x="9"/>
        <item t="default"/>
      </items>
    </pivotField>
    <pivotField name="Clean Qty" dataField="1" compact="0" outline="0" multipleItemSelectionAllowed="1" showAll="0">
      <items>
        <item x="0"/>
        <item x="1"/>
        <item x="2"/>
        <item x="3"/>
        <item x="4"/>
        <item x="5"/>
        <item x="6"/>
        <item x="7"/>
        <item x="8"/>
        <item t="default"/>
      </items>
    </pivotField>
    <pivotField name="Unit Cost" compact="0" numFmtId="164" outline="0" multipleItemSelectionAllowed="1" showAll="0">
      <items>
        <item x="0"/>
        <item x="1"/>
        <item x="2"/>
        <item x="3"/>
        <item x="4"/>
        <item x="5"/>
        <item x="6"/>
        <item t="default"/>
      </items>
    </pivotField>
    <pivotField name=" Clean Unit Cost" compact="0" numFmtId="164" outline="0" multipleItemSelectionAllowed="1" showAll="0">
      <items>
        <item x="0"/>
        <item x="1"/>
        <item x="2"/>
        <item x="3"/>
        <item x="4"/>
        <item x="5"/>
        <item x="6"/>
        <item t="default"/>
      </items>
    </pivotField>
    <pivotField name="Total Cost" compact="0" numFmtId="164" outline="0" multipleItemSelectionAllowed="1" showAll="0">
      <items>
        <item x="0"/>
        <item x="1"/>
        <item x="2"/>
        <item x="3"/>
        <item x="4"/>
        <item x="5"/>
        <item x="6"/>
        <item x="7"/>
        <item x="8"/>
        <item x="9"/>
        <item x="10"/>
        <item x="11"/>
        <item x="12"/>
        <item x="13"/>
        <item t="default"/>
      </items>
    </pivotField>
    <pivotField name="Clean Total Cost" dataField="1" compact="0" numFmtId="164" outline="0" multipleItemSelectionAllowed="1" showAll="0">
      <items>
        <item x="0"/>
        <item x="1"/>
        <item x="2"/>
        <item x="3"/>
        <item x="4"/>
        <item x="5"/>
        <item x="6"/>
        <item x="7"/>
        <item x="8"/>
        <item x="9"/>
        <item x="10"/>
        <item x="11"/>
        <item x="12"/>
        <item x="13"/>
        <item t="default"/>
      </items>
    </pivotField>
    <pivotField name="PO #" compact="0" outline="0" multipleItemSelectionAllowed="1" showAll="0">
      <items>
        <item x="0"/>
        <item x="1"/>
        <item x="2"/>
        <item x="3"/>
        <item x="4"/>
        <item x="5"/>
        <item x="6"/>
        <item x="7"/>
        <item x="8"/>
        <item x="9"/>
        <item x="10"/>
        <item x="11"/>
        <item x="12"/>
        <item x="13"/>
        <item t="default"/>
      </items>
    </pivotField>
    <pivotField name="Clean PO #" compact="0" numFmtId="166" outline="0" multipleItemSelectionAllowed="1" showAll="0">
      <items>
        <item x="0"/>
        <item x="1"/>
        <item x="2"/>
        <item x="3"/>
        <item x="4"/>
        <item x="5"/>
        <item x="6"/>
        <item x="7"/>
        <item x="8"/>
        <item x="9"/>
        <item x="10"/>
        <item x="11"/>
        <item x="12"/>
        <item x="13"/>
        <item t="default"/>
      </items>
    </pivotField>
    <pivotField name="Delivery Date" compact="0" numFmtId="166" outline="0" multipleItemSelectionAllowed="1" showAll="0">
      <items>
        <item x="0"/>
        <item x="1"/>
        <item x="2"/>
        <item x="3"/>
        <item x="4"/>
        <item x="5"/>
        <item x="6"/>
        <item x="7"/>
        <item x="8"/>
        <item x="9"/>
        <item t="default"/>
      </items>
    </pivotField>
    <pivotField name="Standarized Delivery Dates" compact="0" numFmtId="167" outline="0" multipleItemSelectionAllowed="1" showAll="0">
      <items>
        <item x="0"/>
        <item x="1"/>
        <item x="2"/>
        <item x="3"/>
        <item x="4"/>
        <item x="5"/>
        <item x="6"/>
        <item x="7"/>
        <item x="8"/>
        <item x="9"/>
        <item t="default"/>
      </items>
    </pivotField>
    <pivotField name="Comments" compact="0" outline="0" multipleItemSelectionAllowed="1" showAll="0">
      <items>
        <item x="0"/>
        <item x="1"/>
        <item x="2"/>
        <item x="3"/>
        <item x="4"/>
        <item x="5"/>
        <item x="6"/>
        <item t="default"/>
      </items>
    </pivotField>
    <pivotField name="Forecast Units" compact="0" outline="0" multipleItemSelectionAllowed="1" showAll="0">
      <items>
        <item x="0"/>
        <item x="1"/>
        <item x="2"/>
        <item x="3"/>
        <item x="4"/>
        <item x="5"/>
        <item x="6"/>
        <item x="7"/>
        <item t="default"/>
      </items>
    </pivotField>
    <pivotField name="Stock Status" compact="0" outline="0" multipleItemSelectionAllowed="1" showAll="0">
      <items>
        <item x="0"/>
        <item x="1"/>
        <item t="default"/>
      </items>
    </pivotField>
    <pivotField name="Remaining OTB" compact="0" numFmtId="3" outline="0" multipleItemSelectionAllowed="1" showAll="0">
      <items>
        <item x="0"/>
        <item x="1"/>
        <item x="2"/>
        <item x="3"/>
        <item x="4"/>
        <item x="5"/>
        <item x="6"/>
        <item x="7"/>
        <item x="8"/>
        <item t="default"/>
      </items>
    </pivotField>
    <pivotField name="OTB Status" compact="0" outline="0" multipleItemSelectionAllowed="1" showAll="0">
      <items>
        <item x="0"/>
        <item t="default"/>
      </items>
    </pivotField>
    <pivotField name="Forecast Revenue" compact="0" numFmtId="3" outline="0" multipleItemSelectionAllowed="1" showAll="0">
      <items>
        <item x="0"/>
        <item x="1"/>
        <item x="2"/>
        <item x="3"/>
        <item x="4"/>
        <item x="5"/>
        <item x="6"/>
        <item x="7"/>
        <item x="8"/>
        <item x="9"/>
        <item t="default"/>
      </items>
    </pivotField>
    <pivotField name="Margin $" compact="0" numFmtId="3" outline="0" multipleItemSelectionAllowed="1" showAll="0">
      <items>
        <item x="0"/>
        <item x="1"/>
        <item x="2"/>
        <item x="3"/>
        <item x="4"/>
        <item x="5"/>
        <item x="6"/>
        <item x="7"/>
        <item x="8"/>
        <item x="9"/>
        <item x="10"/>
        <item x="11"/>
        <item x="12"/>
        <item x="13"/>
        <item t="default"/>
      </items>
    </pivotField>
    <pivotField name="Margin %" dataField="1" compact="0" numFmtId="10" outline="0" multipleItemSelectionAllowed="1" showAll="0">
      <items>
        <item x="0"/>
        <item x="1"/>
        <item x="2"/>
        <item x="3"/>
        <item x="4"/>
        <item x="5"/>
        <item x="6"/>
        <item x="7"/>
        <item x="8"/>
        <item x="9"/>
        <item x="10"/>
        <item x="11"/>
        <item x="12"/>
        <item x="13"/>
        <item t="default"/>
      </items>
    </pivotField>
    <pivotField name="Inventory Action" compact="0" outline="0" multipleItemSelectionAllowed="1" showAll="0">
      <items>
        <item x="0"/>
        <item x="1"/>
        <item t="default"/>
      </items>
    </pivotField>
    <pivotField name="Qty Variance" compact="0" outline="0" multipleItemSelectionAllowed="1" showAll="0">
      <items>
        <item x="0"/>
        <item x="1"/>
        <item x="2"/>
        <item x="3"/>
        <item t="default"/>
      </items>
    </pivotField>
    <pivotField name="Variance Flag" compact="0" outline="0" multipleItemSelectionAllowed="1" showAll="0">
      <items>
        <item x="0"/>
        <item x="1"/>
        <item t="default"/>
      </items>
    </pivotField>
  </pivotFields>
  <rowFields>
    <field x="0"/>
  </rowFields>
  <colFields>
    <field x="3"/>
    <field x="-2"/>
  </colFields>
  <dataFields>
    <dataField name="SUM of Clean Qty" fld="5" baseField="0"/>
    <dataField name="SUM of Clean Total Cost" fld="9" baseField="0"/>
    <dataField name="AVERAGE of Margin %" fld="21" subtotal="average" baseField="0"/>
  </dataFields>
</pivotTableDefinition>
</file>

<file path=xl/tables/table1.xml><?xml version="1.0" encoding="utf-8"?>
<table xmlns="http://schemas.openxmlformats.org/spreadsheetml/2006/main" ref="A1:Y15" displayName="Seasonal_Buys" name="Seasonal_Buys" id="1">
  <tableColumns count="25">
    <tableColumn name="BU" id="1"/>
    <tableColumn name="Item Code" id="2"/>
    <tableColumn name="Item Description" id="3"/>
    <tableColumn name="Category" id="4"/>
    <tableColumn name="Order Qty" id="5"/>
    <tableColumn name="Clean Qty" id="6"/>
    <tableColumn name="Unit Cost" id="7"/>
    <tableColumn name=" Clean Unit Cost" id="8"/>
    <tableColumn name="Total Cost" id="9"/>
    <tableColumn name="Clean Total Cost" id="10"/>
    <tableColumn name="PO #" id="11"/>
    <tableColumn name="Clean PO #" id="12"/>
    <tableColumn name="Delivery Date" id="13"/>
    <tableColumn name="Standarized Delivery Dates" id="14"/>
    <tableColumn name="Comments" id="15"/>
    <tableColumn name="Forecast Units" id="16"/>
    <tableColumn name="Stock Status" id="17"/>
    <tableColumn name="Remaining OTB" id="18"/>
    <tableColumn name="OTB Status" id="19"/>
    <tableColumn name="Forecast Revenue" id="20"/>
    <tableColumn name="Margin $" id="21"/>
    <tableColumn name="Margin %" id="22"/>
    <tableColumn name="Inventory Action" id="23"/>
    <tableColumn name="Qty Variance" id="24"/>
    <tableColumn name="Variance Flag" id="25"/>
  </tableColumns>
  <tableStyleInfo name="Seasonal_Buys_CLEAN_data-style" showColumnStripes="0" showFirstColumn="1" showLastColumn="1" showRowStripes="1"/>
</table>
</file>

<file path=xl/tables/table2.xml><?xml version="1.0" encoding="utf-8"?>
<table xmlns="http://schemas.openxmlformats.org/spreadsheetml/2006/main" ref="A1:F14" displayName="Table1" name="Table1" id="2">
  <tableColumns count="6">
    <tableColumn name="BU_Category_Key" id="1"/>
    <tableColumn name="BU" id="2"/>
    <tableColumn name="Category" id="3"/>
    <tableColumn name="OTB Limit" id="4"/>
    <tableColumn name="Current Spend" id="5"/>
    <tableColumn name="Remaining OTB" id="6"/>
  </tableColumns>
  <tableStyleInfo name="OTB_Budg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5"/>
    <col customWidth="1" min="2" max="2" width="7.5"/>
    <col customWidth="1" min="3" max="4" width="13.88"/>
    <col customWidth="1" min="5" max="5" width="15.38"/>
    <col customWidth="1" min="6" max="8" width="13.88"/>
    <col customWidth="1" min="9" max="9" width="17.88"/>
    <col customWidth="1" min="10" max="14" width="13.88"/>
    <col customWidth="1" min="15" max="15" width="16.25"/>
    <col customWidth="1" min="16" max="19" width="13.88"/>
  </cols>
  <sheetData>
    <row r="1" ht="21.0" customHeight="1">
      <c r="A1" s="1"/>
      <c r="B1" s="1"/>
      <c r="C1" s="1"/>
      <c r="D1" s="1"/>
      <c r="E1" s="1"/>
      <c r="F1" s="1"/>
      <c r="G1" s="1"/>
      <c r="H1" s="1"/>
      <c r="I1" s="1"/>
      <c r="J1" s="1"/>
      <c r="K1" s="1"/>
      <c r="L1" s="1"/>
      <c r="M1" s="1"/>
      <c r="N1" s="1"/>
      <c r="O1" s="1"/>
      <c r="P1" s="1"/>
      <c r="Q1" s="1"/>
      <c r="R1" s="1"/>
      <c r="S1" s="1"/>
    </row>
    <row r="2" ht="21.0" customHeight="1">
      <c r="A2" s="1"/>
      <c r="B2" s="2" t="s">
        <v>0</v>
      </c>
      <c r="C2" s="3"/>
      <c r="D2" s="3"/>
      <c r="E2" s="3"/>
      <c r="F2" s="3"/>
      <c r="G2" s="3"/>
      <c r="H2" s="3"/>
      <c r="I2" s="3"/>
      <c r="J2" s="3"/>
      <c r="K2" s="3"/>
      <c r="L2" s="3"/>
      <c r="M2" s="3"/>
      <c r="N2" s="3"/>
      <c r="O2" s="3"/>
      <c r="P2" s="3"/>
      <c r="Q2" s="3"/>
      <c r="R2" s="3"/>
      <c r="S2" s="3"/>
      <c r="T2" s="4"/>
    </row>
    <row r="3" ht="60.0" customHeight="1">
      <c r="A3" s="1"/>
      <c r="B3" s="5"/>
      <c r="C3" s="6"/>
      <c r="D3" s="6"/>
      <c r="E3" s="6"/>
      <c r="F3" s="6"/>
      <c r="G3" s="6"/>
      <c r="H3" s="6"/>
      <c r="I3" s="6"/>
      <c r="J3" s="6"/>
      <c r="K3" s="6"/>
      <c r="L3" s="6"/>
      <c r="M3" s="6"/>
      <c r="N3" s="6"/>
      <c r="O3" s="6"/>
      <c r="P3" s="6"/>
      <c r="Q3" s="6"/>
      <c r="R3" s="6"/>
      <c r="S3" s="6"/>
      <c r="T3" s="7"/>
    </row>
    <row r="4" ht="21.0" customHeight="1">
      <c r="A4" s="8"/>
      <c r="B4" s="9" t="s">
        <v>1</v>
      </c>
      <c r="E4" s="10"/>
      <c r="F4" s="11" t="s">
        <v>2</v>
      </c>
      <c r="H4" s="10"/>
      <c r="I4" s="12" t="s">
        <v>3</v>
      </c>
      <c r="K4" s="10"/>
      <c r="L4" s="12" t="s">
        <v>4</v>
      </c>
      <c r="N4" s="10"/>
      <c r="O4" s="12" t="s">
        <v>5</v>
      </c>
      <c r="Q4" s="10"/>
      <c r="R4" s="11" t="s">
        <v>6</v>
      </c>
      <c r="T4" s="13"/>
    </row>
    <row r="5" ht="21.0" customHeight="1">
      <c r="A5" s="8"/>
      <c r="B5" s="14"/>
      <c r="E5" s="10"/>
      <c r="H5" s="10"/>
      <c r="I5" s="15"/>
      <c r="K5" s="10"/>
      <c r="L5" s="15"/>
      <c r="N5" s="10"/>
      <c r="O5" s="15"/>
      <c r="Q5" s="10"/>
      <c r="T5" s="13"/>
    </row>
    <row r="6" ht="21.0" customHeight="1">
      <c r="A6" s="16"/>
      <c r="B6" s="17">
        <f>SUM(Seasonal_Buys_CLEAN_data!F2:F994)</f>
        <v>408</v>
      </c>
      <c r="E6" s="10"/>
      <c r="F6" s="18">
        <f>SUM(Seasonal_Buys_CLEAN_data!P2:P994)</f>
        <v>483</v>
      </c>
      <c r="H6" s="10"/>
      <c r="I6" s="19">
        <f>sum(Seasonal_Buys_CLEAN_data!J2:J994)</f>
        <v>13611.02</v>
      </c>
      <c r="K6" s="10"/>
      <c r="L6" s="20">
        <f>sum(Seasonal_Buys_CLEAN_data!T2:T994)</f>
        <v>16219.3</v>
      </c>
      <c r="N6" s="10"/>
      <c r="O6" s="21">
        <f>sum(Seasonal_Buys_CLEAN_data!U2:U994)</f>
        <v>2608.28</v>
      </c>
      <c r="Q6" s="10"/>
      <c r="R6" s="22">
        <f>Average(Seasonal_Buys_CLEAN_data!V2:V994)</f>
        <v>0.1523668507</v>
      </c>
      <c r="T6" s="13"/>
    </row>
    <row r="7" ht="21.0" customHeight="1">
      <c r="A7" s="16"/>
      <c r="B7" s="23"/>
      <c r="C7" s="24"/>
      <c r="D7" s="24"/>
      <c r="E7" s="25"/>
      <c r="F7" s="24"/>
      <c r="G7" s="24"/>
      <c r="H7" s="25"/>
      <c r="I7" s="26"/>
      <c r="J7" s="24"/>
      <c r="K7" s="25"/>
      <c r="L7" s="26"/>
      <c r="M7" s="24"/>
      <c r="N7" s="25"/>
      <c r="O7" s="26"/>
      <c r="P7" s="24"/>
      <c r="Q7" s="25"/>
      <c r="R7" s="24"/>
      <c r="S7" s="24"/>
      <c r="T7" s="27"/>
    </row>
    <row r="8" ht="21.0" customHeight="1">
      <c r="B8" s="28"/>
      <c r="C8" s="29"/>
      <c r="T8" s="30"/>
    </row>
    <row r="9" ht="21.0" customHeight="1">
      <c r="A9" s="31"/>
      <c r="B9" s="32"/>
      <c r="D9" s="33" t="s">
        <v>7</v>
      </c>
      <c r="E9" s="31" t="s">
        <v>8</v>
      </c>
      <c r="F9" s="31" t="s">
        <v>9</v>
      </c>
      <c r="R9" s="31" t="s">
        <v>10</v>
      </c>
      <c r="S9" s="31" t="s">
        <v>11</v>
      </c>
      <c r="T9" s="30"/>
    </row>
    <row r="10" ht="21.0" customHeight="1">
      <c r="B10" s="28"/>
      <c r="D10" s="34">
        <f>IFERROR(__xludf.DUMMYFUNCTION("SORT(UNIQUE(FILTER(Seasonal_Buys_CLEAN_data!B2:B994, Seasonal_Buys_CLEAN_data!B2:B994&lt;&gt;"""")))"),1001.0)</f>
        <v>1001</v>
      </c>
      <c r="E10" s="35">
        <f>SUMIF(Seasonal_Buys_CLEAN_data!B:B, D10, Seasonal_Buys_CLEAN_data!F:F)</f>
        <v>110</v>
      </c>
      <c r="F10" s="35">
        <f>SUMIF(Seasonal_Buys_CLEAN_data!B:B, D10, Seasonal_Buys_CLEAN_data!P:P)</f>
        <v>120</v>
      </c>
      <c r="R10" s="35" t="str">
        <f>IFERROR(__xludf.DUMMYFUNCTION("UNIQUE(FILTER(Seasonal_Buys_CLEAN_data!A2:A994, Seasonal_Buys_CLEAN_data!A2:A994&lt;&gt;""""))"),"DTC")</f>
        <v>DTC</v>
      </c>
      <c r="S10" s="36">
        <f>AVERAGEIF(Seasonal_Buys_CLEAN_data!A:A, R10, Seasonal_Buys_CLEAN_data!V:V)</f>
        <v>0.1718546032</v>
      </c>
      <c r="T10" s="30"/>
    </row>
    <row r="11" ht="21.0" customHeight="1">
      <c r="B11" s="28"/>
      <c r="D11" s="34">
        <f>IFERROR(__xludf.DUMMYFUNCTION("""COMPUTED_VALUE"""),1002.0)</f>
        <v>1002</v>
      </c>
      <c r="E11" s="35">
        <f>SUMIF(Seasonal_Buys_CLEAN_data!B:B, D11, Seasonal_Buys_CLEAN_data!F:F)</f>
        <v>65</v>
      </c>
      <c r="F11" s="35">
        <f>SUMIF(Seasonal_Buys_CLEAN_data!B:B, D11, Seasonal_Buys_CLEAN_data!P:P)</f>
        <v>100</v>
      </c>
      <c r="R11" s="35" t="str">
        <f>IFERROR(__xludf.DUMMYFUNCTION("""COMPUTED_VALUE"""),"WH")</f>
        <v>WH</v>
      </c>
      <c r="S11" s="36">
        <f>AVERAGEIF(Seasonal_Buys_CLEAN_data!A:A, R11, Seasonal_Buys_CLEAN_data!V:V)</f>
        <v>0.1401933095</v>
      </c>
      <c r="T11" s="30"/>
    </row>
    <row r="12" ht="21.0" customHeight="1">
      <c r="B12" s="28"/>
      <c r="D12" s="34">
        <f>IFERROR(__xludf.DUMMYFUNCTION("""COMPUTED_VALUE"""),1003.0)</f>
        <v>1003</v>
      </c>
      <c r="E12" s="35">
        <f>SUMIF(Seasonal_Buys_CLEAN_data!B:B, D12, Seasonal_Buys_CLEAN_data!F:F)</f>
        <v>20</v>
      </c>
      <c r="F12" s="35">
        <f>SUMIF(Seasonal_Buys_CLEAN_data!B:B, D12, Seasonal_Buys_CLEAN_data!P:P)</f>
        <v>25</v>
      </c>
      <c r="K12" s="31" t="s">
        <v>12</v>
      </c>
      <c r="L12" s="31" t="s">
        <v>13</v>
      </c>
      <c r="R12" s="35" t="str">
        <f>IFERROR(__xludf.DUMMYFUNCTION("""COMPUTED_VALUE"""),"INT")</f>
        <v>INT</v>
      </c>
      <c r="S12" s="36">
        <f>AVERAGEIF(Seasonal_Buys_CLEAN_data!A:A, R12, Seasonal_Buys_CLEAN_data!V:V)</f>
        <v>0.1432240867</v>
      </c>
      <c r="T12" s="30"/>
    </row>
    <row r="13" ht="21.0" customHeight="1">
      <c r="B13" s="28"/>
      <c r="D13" s="34">
        <f>IFERROR(__xludf.DUMMYFUNCTION("""COMPUTED_VALUE"""),1004.0)</f>
        <v>1004</v>
      </c>
      <c r="E13" s="35">
        <f>SUMIF(Seasonal_Buys_CLEAN_data!B:B, D13, Seasonal_Buys_CLEAN_data!F:F)</f>
        <v>25</v>
      </c>
      <c r="F13" s="35">
        <f>SUMIF(Seasonal_Buys_CLEAN_data!B:B, D13, Seasonal_Buys_CLEAN_data!P:P)</f>
        <v>25</v>
      </c>
      <c r="K13" s="35" t="str">
        <f>IFERROR(__xludf.DUMMYFUNCTION("UNIQUE(FILTER(Seasonal_Buys_CLEAN_data!Q2:Q994, Seasonal_Buys_CLEAN_data!Q2:Q994&lt;&gt;""""))"),"Understock")</f>
        <v>Understock</v>
      </c>
      <c r="L13" s="35">
        <f>COUNTIF(Seasonal_Buys_CLEAN_data!Q:Q, K13)</f>
        <v>9</v>
      </c>
      <c r="T13" s="30"/>
    </row>
    <row r="14" ht="21.0" customHeight="1">
      <c r="B14" s="28"/>
      <c r="D14" s="34">
        <f>IFERROR(__xludf.DUMMYFUNCTION("""COMPUTED_VALUE"""),1005.0)</f>
        <v>1005</v>
      </c>
      <c r="E14" s="35">
        <f>SUMIF(Seasonal_Buys_CLEAN_data!B:B, D14, Seasonal_Buys_CLEAN_data!F:F)</f>
        <v>15</v>
      </c>
      <c r="F14" s="35">
        <f>SUMIF(Seasonal_Buys_CLEAN_data!B:B, D14, Seasonal_Buys_CLEAN_data!P:P)</f>
        <v>20</v>
      </c>
      <c r="K14" s="35" t="str">
        <f>IFERROR(__xludf.DUMMYFUNCTION("""COMPUTED_VALUE"""),"Balanced")</f>
        <v>Balanced</v>
      </c>
      <c r="L14" s="35">
        <f>COUNTIF(Seasonal_Buys_CLEAN_data!Q:Q, K14)</f>
        <v>5</v>
      </c>
      <c r="T14" s="30"/>
    </row>
    <row r="15" ht="21.0" customHeight="1">
      <c r="B15" s="28"/>
      <c r="D15" s="34">
        <f>IFERROR(__xludf.DUMMYFUNCTION("""COMPUTED_VALUE"""),1006.0)</f>
        <v>1006</v>
      </c>
      <c r="E15" s="35">
        <f>SUMIF(Seasonal_Buys_CLEAN_data!B:B, D15, Seasonal_Buys_CLEAN_data!F:F)</f>
        <v>30</v>
      </c>
      <c r="F15" s="35">
        <f>SUMIF(Seasonal_Buys_CLEAN_data!B:B, D15, Seasonal_Buys_CLEAN_data!P:P)</f>
        <v>35</v>
      </c>
      <c r="T15" s="30"/>
    </row>
    <row r="16" ht="21.0" customHeight="1">
      <c r="B16" s="28"/>
      <c r="D16" s="34">
        <f>IFERROR(__xludf.DUMMYFUNCTION("""COMPUTED_VALUE"""),1007.0)</f>
        <v>1007</v>
      </c>
      <c r="E16" s="35">
        <f>SUMIF(Seasonal_Buys_CLEAN_data!B:B, D16, Seasonal_Buys_CLEAN_data!F:F)</f>
        <v>35</v>
      </c>
      <c r="F16" s="35">
        <f>SUMIF(Seasonal_Buys_CLEAN_data!B:B, D16, Seasonal_Buys_CLEAN_data!P:P)</f>
        <v>40</v>
      </c>
      <c r="T16" s="30"/>
    </row>
    <row r="17" ht="21.0" customHeight="1">
      <c r="B17" s="28"/>
      <c r="D17" s="34">
        <f>IFERROR(__xludf.DUMMYFUNCTION("""COMPUTED_VALUE"""),1008.0)</f>
        <v>1008</v>
      </c>
      <c r="E17" s="35">
        <f>SUMIF(Seasonal_Buys_CLEAN_data!B:B, D17, Seasonal_Buys_CLEAN_data!F:F)</f>
        <v>25</v>
      </c>
      <c r="F17" s="35">
        <f>SUMIF(Seasonal_Buys_CLEAN_data!B:B, D17, Seasonal_Buys_CLEAN_data!P:P)</f>
        <v>25</v>
      </c>
      <c r="T17" s="30"/>
    </row>
    <row r="18" ht="21.0" customHeight="1">
      <c r="B18" s="28"/>
      <c r="D18" s="34">
        <f>IFERROR(__xludf.DUMMYFUNCTION("""COMPUTED_VALUE"""),1009.0)</f>
        <v>1009</v>
      </c>
      <c r="E18" s="35">
        <f>SUMIF(Seasonal_Buys_CLEAN_data!B:B, D18, Seasonal_Buys_CLEAN_data!F:F)</f>
        <v>30</v>
      </c>
      <c r="F18" s="35">
        <f>SUMIF(Seasonal_Buys_CLEAN_data!B:B, D18, Seasonal_Buys_CLEAN_data!P:P)</f>
        <v>30</v>
      </c>
      <c r="T18" s="30"/>
    </row>
    <row r="19" ht="21.0" customHeight="1">
      <c r="B19" s="28"/>
      <c r="D19" s="34">
        <f>IFERROR(__xludf.DUMMYFUNCTION("""COMPUTED_VALUE"""),1010.0)</f>
        <v>1010</v>
      </c>
      <c r="E19" s="35">
        <f>SUMIF(Seasonal_Buys_CLEAN_data!B:B, D19, Seasonal_Buys_CLEAN_data!F:F)</f>
        <v>20</v>
      </c>
      <c r="F19" s="35">
        <f>SUMIF(Seasonal_Buys_CLEAN_data!B:B, D19, Seasonal_Buys_CLEAN_data!P:P)</f>
        <v>25</v>
      </c>
      <c r="T19" s="30"/>
    </row>
    <row r="20" ht="21.0" customHeight="1">
      <c r="B20" s="28"/>
      <c r="D20" s="34">
        <f>IFERROR(__xludf.DUMMYFUNCTION("""COMPUTED_VALUE"""),1011.0)</f>
        <v>1011</v>
      </c>
      <c r="E20" s="35">
        <f>SUMIF(Seasonal_Buys_CLEAN_data!B:B, D20, Seasonal_Buys_CLEAN_data!F:F)</f>
        <v>15</v>
      </c>
      <c r="F20" s="35">
        <f>SUMIF(Seasonal_Buys_CLEAN_data!B:B, D20, Seasonal_Buys_CLEAN_data!P:P)</f>
        <v>20</v>
      </c>
      <c r="T20" s="30"/>
    </row>
    <row r="21" ht="21.0" customHeight="1">
      <c r="B21" s="28"/>
      <c r="D21" s="34">
        <f>IFERROR(__xludf.DUMMYFUNCTION("""COMPUTED_VALUE"""),1012.0)</f>
        <v>1012</v>
      </c>
      <c r="E21" s="35">
        <f>SUMIF(Seasonal_Buys_CLEAN_data!B:B, D21, Seasonal_Buys_CLEAN_data!F:F)</f>
        <v>18</v>
      </c>
      <c r="F21" s="35">
        <f>SUMIF(Seasonal_Buys_CLEAN_data!B:B, D21, Seasonal_Buys_CLEAN_data!P:P)</f>
        <v>18</v>
      </c>
      <c r="T21" s="30"/>
    </row>
    <row r="22" ht="21.0" customHeight="1">
      <c r="B22" s="28"/>
      <c r="D22" s="37"/>
      <c r="T22" s="30"/>
    </row>
    <row r="23" ht="21.0" customHeight="1">
      <c r="B23" s="28"/>
      <c r="T23" s="30"/>
    </row>
    <row r="24" ht="21.0" customHeight="1">
      <c r="B24" s="28"/>
      <c r="R24" s="31" t="s">
        <v>14</v>
      </c>
      <c r="S24" s="31" t="s">
        <v>15</v>
      </c>
      <c r="T24" s="30"/>
    </row>
    <row r="25" ht="21.0" customHeight="1">
      <c r="B25" s="28"/>
      <c r="R25" s="38">
        <v>46182.0</v>
      </c>
      <c r="S25" s="35">
        <f>SUMIFS(Seasonal_Buys_CLEAN_data!F:F, Seasonal_Buys_CLEAN_data!N:N, "&gt;="&amp; R25, Seasonal_Buys_CLEAN_data!N:N, "&lt;"&amp; R25+7)</f>
        <v>150</v>
      </c>
      <c r="T25" s="30"/>
    </row>
    <row r="26" ht="21.0" customHeight="1">
      <c r="B26" s="28"/>
      <c r="R26" s="39">
        <f t="shared" ref="R26:R27" si="1">R25+7</f>
        <v>46189</v>
      </c>
      <c r="S26" s="35">
        <f>SUMIFS(Seasonal_Buys_CLEAN_data!F:F, Seasonal_Buys_CLEAN_data!N:N, "&gt;="&amp; R26, Seasonal_Buys_CLEAN_data!N:N, "&lt;"&amp; R26+7)</f>
        <v>243</v>
      </c>
      <c r="T26" s="30"/>
    </row>
    <row r="27" ht="21.0" customHeight="1">
      <c r="B27" s="28"/>
      <c r="R27" s="39">
        <f t="shared" si="1"/>
        <v>46196</v>
      </c>
      <c r="S27" s="35">
        <f>SUMIFS(Seasonal_Buys_CLEAN_data!F:F, Seasonal_Buys_CLEAN_data!N:N, "&gt;="&amp; R27, Seasonal_Buys_CLEAN_data!N:N, "&lt;"&amp; R27+7)</f>
        <v>15</v>
      </c>
      <c r="T27" s="30"/>
    </row>
    <row r="28" ht="40.5" customHeight="1">
      <c r="A28" s="40"/>
      <c r="B28" s="41"/>
      <c r="C28" s="42" t="s">
        <v>16</v>
      </c>
      <c r="D28" s="43"/>
      <c r="E28" s="43"/>
      <c r="F28" s="43"/>
      <c r="G28" s="43"/>
      <c r="H28" s="43"/>
      <c r="I28" s="43"/>
      <c r="J28" s="43"/>
      <c r="K28" s="44"/>
      <c r="M28" s="45"/>
      <c r="T28" s="30"/>
    </row>
    <row r="29" ht="35.25" customHeight="1">
      <c r="A29" s="46"/>
      <c r="B29" s="47"/>
      <c r="C29" s="48" t="s">
        <v>10</v>
      </c>
      <c r="D29" s="48" t="s">
        <v>17</v>
      </c>
      <c r="E29" s="49" t="s">
        <v>18</v>
      </c>
      <c r="F29" s="50"/>
      <c r="G29" s="48" t="s">
        <v>19</v>
      </c>
      <c r="H29" s="48" t="s">
        <v>20</v>
      </c>
      <c r="I29" s="49" t="s">
        <v>9</v>
      </c>
      <c r="J29" s="49" t="s">
        <v>21</v>
      </c>
      <c r="K29" s="51"/>
      <c r="L29" s="52"/>
      <c r="T29" s="30"/>
    </row>
    <row r="30" ht="18.75" customHeight="1">
      <c r="A30" s="53"/>
      <c r="B30" s="54"/>
      <c r="C30" s="55" t="s">
        <v>22</v>
      </c>
      <c r="D30" s="56">
        <v>1002.0</v>
      </c>
      <c r="E30" s="57" t="s">
        <v>23</v>
      </c>
      <c r="F30" s="58"/>
      <c r="G30" s="55" t="s">
        <v>24</v>
      </c>
      <c r="H30" s="59">
        <v>25.0</v>
      </c>
      <c r="I30" s="60">
        <v>50.0</v>
      </c>
      <c r="J30" s="61">
        <v>-25.0</v>
      </c>
      <c r="K30" s="62"/>
      <c r="T30" s="30"/>
    </row>
    <row r="31" ht="21.0" customHeight="1">
      <c r="A31" s="53"/>
      <c r="B31" s="54"/>
      <c r="C31" s="55" t="s">
        <v>25</v>
      </c>
      <c r="D31" s="56">
        <v>1001.0</v>
      </c>
      <c r="E31" s="57" t="s">
        <v>26</v>
      </c>
      <c r="F31" s="58"/>
      <c r="G31" s="55" t="s">
        <v>24</v>
      </c>
      <c r="H31" s="59">
        <v>50.0</v>
      </c>
      <c r="I31" s="60">
        <v>60.0</v>
      </c>
      <c r="J31" s="63">
        <v>-10.0</v>
      </c>
      <c r="K31" s="62"/>
      <c r="T31" s="30"/>
    </row>
    <row r="32" ht="21.0" customHeight="1">
      <c r="A32" s="53"/>
      <c r="B32" s="54"/>
      <c r="C32" s="55" t="s">
        <v>25</v>
      </c>
      <c r="D32" s="56">
        <v>1002.0</v>
      </c>
      <c r="E32" s="57" t="s">
        <v>23</v>
      </c>
      <c r="F32" s="58"/>
      <c r="G32" s="55" t="s">
        <v>24</v>
      </c>
      <c r="H32" s="59">
        <v>40.0</v>
      </c>
      <c r="I32" s="60">
        <v>50.0</v>
      </c>
      <c r="J32" s="63">
        <v>-10.0</v>
      </c>
      <c r="K32" s="62"/>
      <c r="L32" s="64" t="s">
        <v>27</v>
      </c>
      <c r="M32" s="65"/>
      <c r="N32" s="65"/>
      <c r="O32" s="65"/>
      <c r="P32" s="65"/>
      <c r="Q32" s="65"/>
      <c r="R32" s="65"/>
      <c r="S32" s="66"/>
      <c r="T32" s="30"/>
    </row>
    <row r="33" ht="21.0" customHeight="1">
      <c r="A33" s="53"/>
      <c r="B33" s="54"/>
      <c r="C33" s="55" t="s">
        <v>28</v>
      </c>
      <c r="D33" s="56">
        <v>1003.0</v>
      </c>
      <c r="E33" s="57" t="s">
        <v>29</v>
      </c>
      <c r="F33" s="58"/>
      <c r="G33" s="55" t="s">
        <v>30</v>
      </c>
      <c r="H33" s="59">
        <v>20.0</v>
      </c>
      <c r="I33" s="60">
        <v>25.0</v>
      </c>
      <c r="J33" s="67">
        <v>-5.0</v>
      </c>
      <c r="K33" s="62"/>
      <c r="L33" s="68"/>
      <c r="M33" s="6"/>
      <c r="N33" s="6"/>
      <c r="O33" s="6"/>
      <c r="P33" s="6"/>
      <c r="Q33" s="6"/>
      <c r="R33" s="6"/>
      <c r="S33" s="50"/>
      <c r="T33" s="30"/>
    </row>
    <row r="34" ht="21.0" customHeight="1">
      <c r="A34" s="53"/>
      <c r="B34" s="54"/>
      <c r="C34" s="55" t="s">
        <v>28</v>
      </c>
      <c r="D34" s="56">
        <v>1005.0</v>
      </c>
      <c r="E34" s="57" t="s">
        <v>31</v>
      </c>
      <c r="F34" s="58"/>
      <c r="G34" s="55" t="s">
        <v>32</v>
      </c>
      <c r="H34" s="59">
        <v>15.0</v>
      </c>
      <c r="I34" s="60">
        <v>20.0</v>
      </c>
      <c r="J34" s="67">
        <v>-5.0</v>
      </c>
      <c r="K34" s="62"/>
      <c r="L34" s="69" t="s">
        <v>10</v>
      </c>
      <c r="M34" s="69" t="s">
        <v>17</v>
      </c>
      <c r="N34" s="70" t="s">
        <v>33</v>
      </c>
      <c r="O34" s="58"/>
      <c r="P34" s="69" t="s">
        <v>3</v>
      </c>
      <c r="Q34" s="69" t="s">
        <v>34</v>
      </c>
      <c r="R34" s="69" t="s">
        <v>35</v>
      </c>
      <c r="S34" s="69" t="s">
        <v>36</v>
      </c>
      <c r="T34" s="30"/>
    </row>
    <row r="35" ht="21.0" customHeight="1">
      <c r="A35" s="53"/>
      <c r="B35" s="54"/>
      <c r="C35" s="55" t="s">
        <v>22</v>
      </c>
      <c r="D35" s="56">
        <v>1006.0</v>
      </c>
      <c r="E35" s="57" t="s">
        <v>37</v>
      </c>
      <c r="F35" s="58"/>
      <c r="G35" s="55" t="s">
        <v>38</v>
      </c>
      <c r="H35" s="59">
        <v>30.0</v>
      </c>
      <c r="I35" s="60">
        <v>35.0</v>
      </c>
      <c r="J35" s="67">
        <v>-5.0</v>
      </c>
      <c r="K35" s="62"/>
      <c r="L35" s="71" t="s">
        <v>22</v>
      </c>
      <c r="M35" s="71">
        <v>1009.0</v>
      </c>
      <c r="N35" s="72" t="s">
        <v>39</v>
      </c>
      <c r="O35" s="58"/>
      <c r="P35" s="73">
        <v>1059.6</v>
      </c>
      <c r="Q35" s="55">
        <v>989.7</v>
      </c>
      <c r="R35" s="73">
        <v>-69.89999999999986</v>
      </c>
      <c r="S35" s="74">
        <v>-0.07062746286753548</v>
      </c>
      <c r="T35" s="30"/>
    </row>
    <row r="36" ht="21.0" customHeight="1">
      <c r="A36" s="53"/>
      <c r="B36" s="54"/>
      <c r="C36" s="55" t="s">
        <v>25</v>
      </c>
      <c r="D36" s="56">
        <v>1007.0</v>
      </c>
      <c r="E36" s="57" t="s">
        <v>40</v>
      </c>
      <c r="F36" s="58"/>
      <c r="G36" s="55" t="s">
        <v>32</v>
      </c>
      <c r="H36" s="59">
        <v>35.0</v>
      </c>
      <c r="I36" s="60">
        <v>40.0</v>
      </c>
      <c r="J36" s="67">
        <v>-5.0</v>
      </c>
      <c r="K36" s="62"/>
      <c r="L36" s="71" t="s">
        <v>22</v>
      </c>
      <c r="M36" s="71">
        <v>1012.0</v>
      </c>
      <c r="N36" s="72" t="s">
        <v>41</v>
      </c>
      <c r="O36" s="58"/>
      <c r="P36" s="73">
        <v>629.82</v>
      </c>
      <c r="Q36" s="55">
        <v>630.0</v>
      </c>
      <c r="R36" s="73">
        <v>0.17999999999994998</v>
      </c>
      <c r="S36" s="74">
        <v>2.857142857142063E-4</v>
      </c>
      <c r="T36" s="30"/>
    </row>
    <row r="37" ht="21.0" customHeight="1">
      <c r="A37" s="53"/>
      <c r="B37" s="54"/>
      <c r="C37" s="55" t="s">
        <v>25</v>
      </c>
      <c r="D37" s="56">
        <v>1010.0</v>
      </c>
      <c r="E37" s="57" t="s">
        <v>42</v>
      </c>
      <c r="F37" s="58"/>
      <c r="G37" s="55" t="s">
        <v>30</v>
      </c>
      <c r="H37" s="59">
        <v>20.0</v>
      </c>
      <c r="I37" s="60">
        <v>25.0</v>
      </c>
      <c r="J37" s="67">
        <v>-5.0</v>
      </c>
      <c r="K37" s="62"/>
      <c r="L37" s="71" t="s">
        <v>28</v>
      </c>
      <c r="M37" s="71">
        <v>1008.0</v>
      </c>
      <c r="N37" s="72" t="s">
        <v>43</v>
      </c>
      <c r="O37" s="58"/>
      <c r="P37" s="73">
        <v>874.75</v>
      </c>
      <c r="Q37" s="55">
        <v>875.0</v>
      </c>
      <c r="R37" s="73">
        <v>0.25</v>
      </c>
      <c r="S37" s="74">
        <v>2.8571428571428574E-4</v>
      </c>
      <c r="T37" s="30"/>
    </row>
    <row r="38" ht="21.0" customHeight="1">
      <c r="A38" s="53"/>
      <c r="B38" s="54"/>
      <c r="C38" s="55" t="s">
        <v>28</v>
      </c>
      <c r="D38" s="56">
        <v>1011.0</v>
      </c>
      <c r="E38" s="57" t="s">
        <v>44</v>
      </c>
      <c r="F38" s="58"/>
      <c r="G38" s="55" t="s">
        <v>38</v>
      </c>
      <c r="H38" s="59">
        <v>15.0</v>
      </c>
      <c r="I38" s="60">
        <v>20.0</v>
      </c>
      <c r="J38" s="67">
        <v>-5.0</v>
      </c>
      <c r="K38" s="62"/>
      <c r="L38" s="71" t="s">
        <v>28</v>
      </c>
      <c r="M38" s="71">
        <v>1001.0</v>
      </c>
      <c r="N38" s="72" t="s">
        <v>45</v>
      </c>
      <c r="O38" s="58"/>
      <c r="P38" s="73">
        <v>1799.4</v>
      </c>
      <c r="Q38" s="75">
        <v>1800.0</v>
      </c>
      <c r="R38" s="75">
        <v>0.599999999999909</v>
      </c>
      <c r="S38" s="74">
        <v>3.333333333332828E-4</v>
      </c>
      <c r="T38" s="30"/>
    </row>
    <row r="39" ht="23.25" customHeight="1">
      <c r="B39" s="28"/>
      <c r="T39" s="30"/>
    </row>
    <row r="40" ht="21.0" customHeight="1">
      <c r="A40" s="76"/>
      <c r="B40" s="77" t="s">
        <v>46</v>
      </c>
      <c r="C40" s="3"/>
      <c r="D40" s="3"/>
      <c r="E40" s="3"/>
      <c r="F40" s="3"/>
      <c r="G40" s="3"/>
      <c r="H40" s="3"/>
      <c r="I40" s="3"/>
      <c r="J40" s="3"/>
      <c r="K40" s="3"/>
      <c r="L40" s="3"/>
      <c r="M40" s="3"/>
      <c r="N40" s="3"/>
      <c r="O40" s="3"/>
      <c r="P40" s="3"/>
      <c r="Q40" s="3"/>
      <c r="R40" s="3"/>
      <c r="S40" s="3"/>
      <c r="T40" s="4"/>
    </row>
    <row r="41" ht="21.0" customHeight="1">
      <c r="A41" s="76"/>
      <c r="B41" s="5"/>
      <c r="C41" s="6"/>
      <c r="D41" s="6"/>
      <c r="E41" s="6"/>
      <c r="F41" s="6"/>
      <c r="G41" s="6"/>
      <c r="H41" s="6"/>
      <c r="I41" s="6"/>
      <c r="J41" s="6"/>
      <c r="K41" s="6"/>
      <c r="L41" s="6"/>
      <c r="M41" s="6"/>
      <c r="N41" s="6"/>
      <c r="O41" s="6"/>
      <c r="P41" s="6"/>
      <c r="Q41" s="6"/>
      <c r="R41" s="6"/>
      <c r="S41" s="6"/>
      <c r="T41" s="7"/>
    </row>
    <row r="42" ht="21.0" customHeight="1">
      <c r="A42" s="78"/>
      <c r="B42" s="79" t="s">
        <v>47</v>
      </c>
      <c r="C42" s="65"/>
      <c r="D42" s="65"/>
      <c r="E42" s="65"/>
      <c r="F42" s="65"/>
      <c r="G42" s="65"/>
      <c r="H42" s="65"/>
      <c r="I42" s="65"/>
      <c r="J42" s="65"/>
      <c r="K42" s="65"/>
      <c r="L42" s="65"/>
      <c r="M42" s="65"/>
      <c r="N42" s="65"/>
      <c r="O42" s="65"/>
      <c r="P42" s="65"/>
      <c r="Q42" s="65"/>
      <c r="R42" s="65"/>
      <c r="S42" s="65"/>
      <c r="T42" s="80"/>
    </row>
    <row r="43" ht="21.0" customHeight="1">
      <c r="A43" s="78"/>
      <c r="B43" s="14"/>
      <c r="T43" s="13"/>
    </row>
    <row r="44" ht="21.0" customHeight="1">
      <c r="A44" s="78"/>
      <c r="B44" s="14"/>
      <c r="T44" s="13"/>
    </row>
    <row r="45" ht="39.75" customHeight="1">
      <c r="A45" s="78"/>
      <c r="B45" s="14"/>
      <c r="T45" s="13"/>
    </row>
    <row r="46" ht="21.0" customHeight="1">
      <c r="A46" s="78"/>
      <c r="B46" s="14"/>
      <c r="T46" s="13"/>
    </row>
    <row r="47" ht="21.0" customHeight="1">
      <c r="A47" s="78"/>
      <c r="B47" s="81"/>
      <c r="C47" s="82"/>
      <c r="D47" s="82"/>
      <c r="E47" s="82"/>
      <c r="F47" s="82"/>
      <c r="G47" s="82"/>
      <c r="H47" s="82"/>
      <c r="I47" s="82"/>
      <c r="J47" s="82"/>
      <c r="K47" s="82"/>
      <c r="L47" s="82"/>
      <c r="M47" s="82"/>
      <c r="N47" s="82"/>
      <c r="O47" s="82"/>
      <c r="P47" s="82"/>
      <c r="Q47" s="82"/>
      <c r="R47" s="82"/>
      <c r="S47" s="82"/>
      <c r="T47" s="83"/>
    </row>
    <row r="48" ht="21.0" customHeight="1">
      <c r="D48" s="84"/>
      <c r="G48" s="84"/>
      <c r="I48" s="84"/>
    </row>
    <row r="49" ht="21.0" customHeight="1">
      <c r="D49" s="84"/>
      <c r="G49" s="84"/>
      <c r="I49" s="84"/>
    </row>
    <row r="50" ht="21.0" customHeight="1"/>
    <row r="51" ht="21.0" customHeight="1"/>
    <row r="52" ht="21.0" customHeight="1"/>
    <row r="53" ht="21.0" customHeight="1"/>
    <row r="54" ht="21.0" customHeight="1"/>
  </sheetData>
  <mergeCells count="33">
    <mergeCell ref="E38:F38"/>
    <mergeCell ref="E37:F37"/>
    <mergeCell ref="E35:F35"/>
    <mergeCell ref="E34:F34"/>
    <mergeCell ref="E33:F33"/>
    <mergeCell ref="B40:T41"/>
    <mergeCell ref="B42:T47"/>
    <mergeCell ref="E36:F36"/>
    <mergeCell ref="I4:K5"/>
    <mergeCell ref="I6:K7"/>
    <mergeCell ref="C28:J28"/>
    <mergeCell ref="O4:Q5"/>
    <mergeCell ref="O6:Q7"/>
    <mergeCell ref="B2:T3"/>
    <mergeCell ref="R4:T5"/>
    <mergeCell ref="R6:T7"/>
    <mergeCell ref="B4:E5"/>
    <mergeCell ref="B6:E7"/>
    <mergeCell ref="L4:N5"/>
    <mergeCell ref="N34:O34"/>
    <mergeCell ref="N35:O35"/>
    <mergeCell ref="N36:O36"/>
    <mergeCell ref="N37:O37"/>
    <mergeCell ref="N38:O38"/>
    <mergeCell ref="L32:S33"/>
    <mergeCell ref="M28:N30"/>
    <mergeCell ref="L6:N7"/>
    <mergeCell ref="F4:H5"/>
    <mergeCell ref="F6:H7"/>
    <mergeCell ref="E29:F29"/>
    <mergeCell ref="E32:F32"/>
    <mergeCell ref="E31:F31"/>
    <mergeCell ref="E30:F30"/>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38"/>
    <col customWidth="1" min="3" max="3" width="17.88"/>
    <col customWidth="1" min="5" max="5" width="18.75"/>
    <col customWidth="1" min="6" max="6" width="12.75"/>
    <col customWidth="1" min="7" max="7" width="15.63"/>
    <col customWidth="1" min="8" max="8" width="21.5"/>
    <col customWidth="1" min="9" max="9" width="17.38"/>
    <col customWidth="1" min="10" max="10" width="21.0"/>
    <col customWidth="1" min="11" max="11" width="15.38"/>
    <col customWidth="1" min="12" max="13" width="15.88"/>
    <col customWidth="1" min="14" max="14" width="28.88"/>
    <col customWidth="1" min="15" max="15" width="17.75"/>
    <col customWidth="1" min="16" max="16" width="16.5"/>
    <col customWidth="1" min="17" max="17" width="14.0"/>
    <col customWidth="1" min="18" max="18" width="16.5"/>
    <col customWidth="1" min="20" max="20" width="18.13"/>
    <col customWidth="1" min="23" max="23" width="25.63"/>
    <col customWidth="1" min="24" max="24" width="15.13"/>
  </cols>
  <sheetData>
    <row r="1" ht="22.5" customHeight="1">
      <c r="A1" s="85" t="s">
        <v>10</v>
      </c>
      <c r="B1" s="85" t="s">
        <v>7</v>
      </c>
      <c r="C1" s="85" t="s">
        <v>33</v>
      </c>
      <c r="D1" s="85" t="s">
        <v>19</v>
      </c>
      <c r="E1" s="85" t="s">
        <v>48</v>
      </c>
      <c r="F1" s="85" t="s">
        <v>49</v>
      </c>
      <c r="G1" s="85" t="s">
        <v>50</v>
      </c>
      <c r="H1" s="86" t="s">
        <v>51</v>
      </c>
      <c r="I1" s="85" t="s">
        <v>3</v>
      </c>
      <c r="J1" s="86" t="s">
        <v>52</v>
      </c>
      <c r="K1" s="85" t="s">
        <v>53</v>
      </c>
      <c r="L1" s="86" t="s">
        <v>54</v>
      </c>
      <c r="M1" s="85" t="s">
        <v>55</v>
      </c>
      <c r="N1" s="86" t="s">
        <v>56</v>
      </c>
      <c r="O1" s="85" t="s">
        <v>57</v>
      </c>
      <c r="P1" s="87" t="s">
        <v>9</v>
      </c>
      <c r="Q1" s="87" t="s">
        <v>12</v>
      </c>
      <c r="R1" s="87" t="s">
        <v>58</v>
      </c>
      <c r="S1" s="87" t="s">
        <v>59</v>
      </c>
      <c r="T1" s="87" t="s">
        <v>60</v>
      </c>
      <c r="U1" s="87" t="s">
        <v>35</v>
      </c>
      <c r="V1" s="88" t="s">
        <v>36</v>
      </c>
      <c r="W1" s="87" t="s">
        <v>61</v>
      </c>
      <c r="X1" s="89" t="s">
        <v>62</v>
      </c>
      <c r="Y1" s="87" t="s">
        <v>63</v>
      </c>
      <c r="Z1" s="90"/>
    </row>
    <row r="2" ht="22.5" customHeight="1">
      <c r="A2" s="85" t="s">
        <v>25</v>
      </c>
      <c r="B2" s="91">
        <v>1001.0</v>
      </c>
      <c r="C2" s="92" t="s">
        <v>26</v>
      </c>
      <c r="D2" s="92" t="s">
        <v>24</v>
      </c>
      <c r="E2" s="91">
        <v>50.0</v>
      </c>
      <c r="F2" s="93">
        <f> IF(ISBLANK(E2), VLOOKUP(B2,Sales_Forecast!A:C, 3, FALSE), E2)</f>
        <v>50</v>
      </c>
      <c r="G2" s="94">
        <v>29.99</v>
      </c>
      <c r="H2" s="95">
        <f t="shared" ref="H2:H15" si="1"> IF(ISBLANK(G2), I2/F2, G2)</f>
        <v>29.99</v>
      </c>
      <c r="I2" s="94">
        <v>1499.5</v>
      </c>
      <c r="J2" s="95">
        <f t="shared" ref="J2:J15" si="2"> IF(ISBLANK(I2), F2*H2, I2)</f>
        <v>1499.5</v>
      </c>
      <c r="K2" s="92" t="s">
        <v>64</v>
      </c>
      <c r="L2" s="96" t="str">
        <f t="shared" ref="L2:L15" si="3">IF(ISBLANK(K2), "PO_TEMP_" &amp; ROW(), K2)</f>
        <v>PO12345</v>
      </c>
      <c r="M2" s="97">
        <v>46188.0</v>
      </c>
      <c r="N2" s="98">
        <f t="shared" ref="N2:N15" si="4">DATEVALUE(TEXT(M2,"MM/DD/YYYY"))</f>
        <v>46188</v>
      </c>
      <c r="O2" s="92" t="s">
        <v>65</v>
      </c>
      <c r="P2" s="99">
        <f>VLOOKUP(B2, Sales_Forecast!A:C, 3, FALSE)</f>
        <v>60</v>
      </c>
      <c r="Q2" s="99" t="str">
        <f t="shared" ref="Q2:Q15" si="5">IF(F2&lt;P2, "Understock", IF(F2&gt;P2, "Overstock", "Balanced"))</f>
        <v>Understock</v>
      </c>
      <c r="R2" s="100">
        <f>VLOOKUP(A2 &amp; "-" &amp; D2, OTB_Budget!A:E, 5, FALSE)</f>
        <v>12000</v>
      </c>
      <c r="S2" s="99" t="str">
        <f t="shared" ref="S2:S15" si="6">IF(J2 &gt; R2, "Over Budget", "Within Budget")</f>
        <v>Within Budget</v>
      </c>
      <c r="T2" s="100">
        <f>VLOOKUP(B2, Sales_Forecast!A:D, 4, FALSE)</f>
        <v>1800</v>
      </c>
      <c r="U2" s="100">
        <f t="shared" ref="U2:U15" si="7">T2-J2</f>
        <v>300.5</v>
      </c>
      <c r="V2" s="101">
        <f t="shared" ref="V2:V15" si="8">U2/T2</f>
        <v>0.1669444444</v>
      </c>
      <c r="W2" s="99" t="str">
        <f t="shared" ref="W2:W15" si="9">IF(F2 &gt; P2, "Surplus - Consider Reroute", IF(F2 &lt; P2, "Deficit - Consider Transfer", "Balanced"))</f>
        <v>Deficit - Consider Transfer</v>
      </c>
      <c r="X2" s="102">
        <f t="shared" ref="X2:X15" si="10">F2-P2</f>
        <v>-10</v>
      </c>
      <c r="Y2" s="99" t="str">
        <f t="shared" ref="Y2:Y15" si="11">IF(X2&lt;0, "Need Units", IF(X2&gt;0, "Excess Units", "On Plan"))</f>
        <v>Need Units</v>
      </c>
      <c r="Z2" s="90"/>
    </row>
    <row r="3" ht="22.5" customHeight="1">
      <c r="A3" s="85" t="s">
        <v>25</v>
      </c>
      <c r="B3" s="91">
        <v>1002.0</v>
      </c>
      <c r="C3" s="92" t="s">
        <v>23</v>
      </c>
      <c r="D3" s="92" t="s">
        <v>24</v>
      </c>
      <c r="E3" s="91">
        <v>40.0</v>
      </c>
      <c r="F3" s="93">
        <f> IF(ISBLANK(E3), VLOOKUP(B3,Sales_Forecast!A:C, 3, FALSE), E3)</f>
        <v>40</v>
      </c>
      <c r="G3" s="94">
        <v>29.99</v>
      </c>
      <c r="H3" s="95">
        <f t="shared" si="1"/>
        <v>29.99</v>
      </c>
      <c r="I3" s="94">
        <v>1199.6</v>
      </c>
      <c r="J3" s="95">
        <f t="shared" si="2"/>
        <v>1199.6</v>
      </c>
      <c r="K3" s="92" t="s">
        <v>66</v>
      </c>
      <c r="L3" s="103" t="str">
        <f t="shared" si="3"/>
        <v>PO12346</v>
      </c>
      <c r="M3" s="104">
        <v>46188.0</v>
      </c>
      <c r="N3" s="98">
        <f t="shared" si="4"/>
        <v>46188</v>
      </c>
      <c r="O3" s="92" t="s">
        <v>67</v>
      </c>
      <c r="P3" s="99">
        <f>VLOOKUP(B3, Sales_Forecast!A:C, 3, FALSE)</f>
        <v>50</v>
      </c>
      <c r="Q3" s="99" t="str">
        <f t="shared" si="5"/>
        <v>Understock</v>
      </c>
      <c r="R3" s="100">
        <f>VLOOKUP(A3 &amp; "-" &amp; D3, OTB_Budget!A:E, 5, FALSE)</f>
        <v>12000</v>
      </c>
      <c r="S3" s="99" t="str">
        <f t="shared" si="6"/>
        <v>Within Budget</v>
      </c>
      <c r="T3" s="100">
        <f>VLOOKUP(B3, Sales_Forecast!A:D, 4, FALSE)</f>
        <v>1500</v>
      </c>
      <c r="U3" s="100">
        <f t="shared" si="7"/>
        <v>300.4</v>
      </c>
      <c r="V3" s="101">
        <f t="shared" si="8"/>
        <v>0.2002666667</v>
      </c>
      <c r="W3" s="99" t="str">
        <f t="shared" si="9"/>
        <v>Deficit - Consider Transfer</v>
      </c>
      <c r="X3" s="102">
        <f t="shared" si="10"/>
        <v>-10</v>
      </c>
      <c r="Y3" s="99" t="str">
        <f t="shared" si="11"/>
        <v>Need Units</v>
      </c>
      <c r="Z3" s="90"/>
    </row>
    <row r="4" ht="22.5" customHeight="1">
      <c r="A4" s="85" t="s">
        <v>28</v>
      </c>
      <c r="B4" s="91">
        <v>1001.0</v>
      </c>
      <c r="C4" s="92" t="s">
        <v>26</v>
      </c>
      <c r="D4" s="92" t="s">
        <v>24</v>
      </c>
      <c r="E4" s="91">
        <v>60.0</v>
      </c>
      <c r="F4" s="93">
        <f> IF(ISBLANK(E4), VLOOKUP(B4,Sales_Forecast!A:C, 3, FALSE), E4)</f>
        <v>60</v>
      </c>
      <c r="G4" s="94">
        <v>29.99</v>
      </c>
      <c r="H4" s="95">
        <f t="shared" si="1"/>
        <v>29.99</v>
      </c>
      <c r="I4" s="94">
        <v>1799.4</v>
      </c>
      <c r="J4" s="95">
        <f t="shared" si="2"/>
        <v>1799.4</v>
      </c>
      <c r="K4" s="92" t="s">
        <v>68</v>
      </c>
      <c r="L4" s="105" t="str">
        <f t="shared" si="3"/>
        <v>PO22345</v>
      </c>
      <c r="M4" s="106">
        <v>46187.0</v>
      </c>
      <c r="N4" s="107">
        <f t="shared" si="4"/>
        <v>46187</v>
      </c>
      <c r="O4" s="99"/>
      <c r="P4" s="99">
        <f>VLOOKUP(B4, Sales_Forecast!A:C, 3, FALSE)</f>
        <v>60</v>
      </c>
      <c r="Q4" s="99" t="str">
        <f t="shared" si="5"/>
        <v>Balanced</v>
      </c>
      <c r="R4" s="100">
        <f>VLOOKUP(A4 &amp; "-" &amp; D4, OTB_Budget!A:E, 5, FALSE)</f>
        <v>18000</v>
      </c>
      <c r="S4" s="99" t="str">
        <f t="shared" si="6"/>
        <v>Within Budget</v>
      </c>
      <c r="T4" s="100">
        <f>VLOOKUP(B4, Sales_Forecast!A:D, 4, FALSE)</f>
        <v>1800</v>
      </c>
      <c r="U4" s="100">
        <f t="shared" si="7"/>
        <v>0.6</v>
      </c>
      <c r="V4" s="101">
        <f t="shared" si="8"/>
        <v>0.0003333333333</v>
      </c>
      <c r="W4" s="99" t="str">
        <f t="shared" si="9"/>
        <v>Balanced</v>
      </c>
      <c r="X4" s="102">
        <f t="shared" si="10"/>
        <v>0</v>
      </c>
      <c r="Y4" s="99" t="str">
        <f t="shared" si="11"/>
        <v>On Plan</v>
      </c>
      <c r="Z4" s="90"/>
    </row>
    <row r="5" ht="22.5" customHeight="1">
      <c r="A5" s="85" t="s">
        <v>28</v>
      </c>
      <c r="B5" s="91">
        <v>1003.0</v>
      </c>
      <c r="C5" s="92" t="s">
        <v>29</v>
      </c>
      <c r="D5" s="92" t="s">
        <v>30</v>
      </c>
      <c r="E5" s="91">
        <v>20.0</v>
      </c>
      <c r="F5" s="93">
        <f> IF(ISBLANK(E5), VLOOKUP(B5,Sales_Forecast!A:C, 3, FALSE), E5)</f>
        <v>20</v>
      </c>
      <c r="G5" s="94">
        <v>49.99</v>
      </c>
      <c r="H5" s="95">
        <f t="shared" si="1"/>
        <v>49.99</v>
      </c>
      <c r="I5" s="94">
        <v>999.8</v>
      </c>
      <c r="J5" s="95">
        <f t="shared" si="2"/>
        <v>999.8</v>
      </c>
      <c r="K5" s="92" t="s">
        <v>69</v>
      </c>
      <c r="L5" s="96" t="str">
        <f t="shared" si="3"/>
        <v>PO22346</v>
      </c>
      <c r="M5" s="97">
        <v>46193.0</v>
      </c>
      <c r="N5" s="107">
        <f t="shared" si="4"/>
        <v>46193</v>
      </c>
      <c r="O5" s="99"/>
      <c r="P5" s="99">
        <f>VLOOKUP(B5, Sales_Forecast!A:C, 3, FALSE)</f>
        <v>25</v>
      </c>
      <c r="Q5" s="99" t="str">
        <f t="shared" si="5"/>
        <v>Understock</v>
      </c>
      <c r="R5" s="100">
        <f>VLOOKUP(A5 &amp; "-" &amp; D5, OTB_Budget!A:E, 5, FALSE)</f>
        <v>7000</v>
      </c>
      <c r="S5" s="99" t="str">
        <f t="shared" si="6"/>
        <v>Within Budget</v>
      </c>
      <c r="T5" s="100">
        <f>VLOOKUP(B5, Sales_Forecast!A:D, 4, FALSE)</f>
        <v>1250</v>
      </c>
      <c r="U5" s="100">
        <f t="shared" si="7"/>
        <v>250.2</v>
      </c>
      <c r="V5" s="101">
        <f t="shared" si="8"/>
        <v>0.20016</v>
      </c>
      <c r="W5" s="99" t="str">
        <f t="shared" si="9"/>
        <v>Deficit - Consider Transfer</v>
      </c>
      <c r="X5" s="102">
        <f t="shared" si="10"/>
        <v>-5</v>
      </c>
      <c r="Y5" s="99" t="str">
        <f t="shared" si="11"/>
        <v>Need Units</v>
      </c>
      <c r="Z5" s="90"/>
    </row>
    <row r="6" ht="22.5" customHeight="1">
      <c r="A6" s="85" t="s">
        <v>22</v>
      </c>
      <c r="B6" s="91">
        <v>1002.0</v>
      </c>
      <c r="C6" s="92" t="s">
        <v>23</v>
      </c>
      <c r="D6" s="92" t="s">
        <v>24</v>
      </c>
      <c r="E6" s="91">
        <v>25.0</v>
      </c>
      <c r="F6" s="93">
        <f> IF(ISBLANK(E6), VLOOKUP(B6,Sales_Forecast!A:C, 3, FALSE), E6)</f>
        <v>25</v>
      </c>
      <c r="G6" s="94">
        <v>29.99</v>
      </c>
      <c r="H6" s="95">
        <f t="shared" si="1"/>
        <v>29.99</v>
      </c>
      <c r="I6" s="94">
        <v>749.75</v>
      </c>
      <c r="J6" s="95">
        <f t="shared" si="2"/>
        <v>749.75</v>
      </c>
      <c r="K6" s="92" t="s">
        <v>70</v>
      </c>
      <c r="L6" s="108" t="str">
        <f t="shared" si="3"/>
        <v>PO32345</v>
      </c>
      <c r="M6" s="109">
        <v>46191.0</v>
      </c>
      <c r="N6" s="107">
        <f t="shared" si="4"/>
        <v>46191</v>
      </c>
      <c r="O6" s="99"/>
      <c r="P6" s="99">
        <f>VLOOKUP(B6, Sales_Forecast!A:C, 3, FALSE)</f>
        <v>50</v>
      </c>
      <c r="Q6" s="99" t="str">
        <f t="shared" si="5"/>
        <v>Understock</v>
      </c>
      <c r="R6" s="100">
        <f>VLOOKUP(A6 &amp; "-" &amp; D6, OTB_Budget!A:E, 5, FALSE)</f>
        <v>9000</v>
      </c>
      <c r="S6" s="99" t="str">
        <f t="shared" si="6"/>
        <v>Within Budget</v>
      </c>
      <c r="T6" s="100">
        <f>VLOOKUP(B6, Sales_Forecast!A:D, 4, FALSE)</f>
        <v>1500</v>
      </c>
      <c r="U6" s="100">
        <f t="shared" si="7"/>
        <v>750.25</v>
      </c>
      <c r="V6" s="101">
        <f t="shared" si="8"/>
        <v>0.5001666667</v>
      </c>
      <c r="W6" s="99" t="str">
        <f t="shared" si="9"/>
        <v>Deficit - Consider Transfer</v>
      </c>
      <c r="X6" s="102">
        <f t="shared" si="10"/>
        <v>-25</v>
      </c>
      <c r="Y6" s="99" t="str">
        <f t="shared" si="11"/>
        <v>Need Units</v>
      </c>
      <c r="Z6" s="90"/>
    </row>
    <row r="7" ht="22.5" customHeight="1">
      <c r="A7" s="85" t="s">
        <v>25</v>
      </c>
      <c r="B7" s="91">
        <v>1004.0</v>
      </c>
      <c r="C7" s="92" t="s">
        <v>71</v>
      </c>
      <c r="D7" s="92" t="s">
        <v>72</v>
      </c>
      <c r="E7" s="110"/>
      <c r="F7" s="111">
        <f> IF(ISBLANK(E7), VLOOKUP(B7,Sales_Forecast!A:C, 3, FALSE), E7)</f>
        <v>25</v>
      </c>
      <c r="G7" s="94">
        <v>34.99</v>
      </c>
      <c r="H7" s="95">
        <f t="shared" si="1"/>
        <v>34.99</v>
      </c>
      <c r="I7" s="94">
        <v>699.8</v>
      </c>
      <c r="J7" s="95">
        <f t="shared" si="2"/>
        <v>699.8</v>
      </c>
      <c r="K7" s="92" t="s">
        <v>73</v>
      </c>
      <c r="L7" s="112" t="str">
        <f t="shared" si="3"/>
        <v>PO12347</v>
      </c>
      <c r="M7" s="113">
        <v>46190.0</v>
      </c>
      <c r="N7" s="98">
        <f t="shared" si="4"/>
        <v>46190</v>
      </c>
      <c r="O7" s="92" t="s">
        <v>74</v>
      </c>
      <c r="P7" s="99">
        <f>VLOOKUP(B7, Sales_Forecast!A:C, 3, FALSE)</f>
        <v>25</v>
      </c>
      <c r="Q7" s="99" t="str">
        <f t="shared" si="5"/>
        <v>Balanced</v>
      </c>
      <c r="R7" s="100">
        <f>VLOOKUP(A7 &amp; "-" &amp; D7, OTB_Budget!A:E, 5, FALSE)</f>
        <v>5000</v>
      </c>
      <c r="S7" s="99" t="str">
        <f t="shared" si="6"/>
        <v>Within Budget</v>
      </c>
      <c r="T7" s="99">
        <f>VLOOKUP(B7, Sales_Forecast!A:D, 4, FALSE)</f>
        <v>875</v>
      </c>
      <c r="U7" s="114">
        <f t="shared" si="7"/>
        <v>175.2</v>
      </c>
      <c r="V7" s="101">
        <f t="shared" si="8"/>
        <v>0.2002285714</v>
      </c>
      <c r="W7" s="99" t="str">
        <f t="shared" si="9"/>
        <v>Balanced</v>
      </c>
      <c r="X7" s="115">
        <f t="shared" si="10"/>
        <v>0</v>
      </c>
      <c r="Y7" s="99" t="str">
        <f t="shared" si="11"/>
        <v>On Plan</v>
      </c>
      <c r="Z7" s="90"/>
    </row>
    <row r="8" ht="22.5" customHeight="1">
      <c r="A8" s="85" t="s">
        <v>28</v>
      </c>
      <c r="B8" s="91">
        <v>1005.0</v>
      </c>
      <c r="C8" s="92" t="s">
        <v>31</v>
      </c>
      <c r="D8" s="92" t="s">
        <v>32</v>
      </c>
      <c r="E8" s="91">
        <v>15.0</v>
      </c>
      <c r="F8" s="93">
        <f> IF(ISBLANK(E8), VLOOKUP(B8,Sales_Forecast!A:C, 3, FALSE), E8)</f>
        <v>15</v>
      </c>
      <c r="G8" s="114"/>
      <c r="H8" s="95">
        <f t="shared" si="1"/>
        <v>40</v>
      </c>
      <c r="I8" s="94">
        <v>600.0</v>
      </c>
      <c r="J8" s="95">
        <f t="shared" si="2"/>
        <v>600</v>
      </c>
      <c r="K8" s="92" t="s">
        <v>75</v>
      </c>
      <c r="L8" s="96" t="str">
        <f t="shared" si="3"/>
        <v>PO22347</v>
      </c>
      <c r="M8" s="97">
        <v>46195.0</v>
      </c>
      <c r="N8" s="98">
        <f t="shared" si="4"/>
        <v>46195</v>
      </c>
      <c r="O8" s="92" t="s">
        <v>76</v>
      </c>
      <c r="P8" s="99">
        <f>VLOOKUP(B8, Sales_Forecast!A:C, 3, FALSE)</f>
        <v>20</v>
      </c>
      <c r="Q8" s="99" t="str">
        <f t="shared" si="5"/>
        <v>Understock</v>
      </c>
      <c r="R8" s="100">
        <f>VLOOKUP(A8 &amp; "-" &amp; D8, OTB_Budget!A:E, 5, FALSE)</f>
        <v>3000</v>
      </c>
      <c r="S8" s="99" t="str">
        <f t="shared" si="6"/>
        <v>Within Budget</v>
      </c>
      <c r="T8" s="99">
        <f>VLOOKUP(B8, Sales_Forecast!A:D, 4, FALSE)</f>
        <v>800</v>
      </c>
      <c r="U8" s="114">
        <f t="shared" si="7"/>
        <v>200</v>
      </c>
      <c r="V8" s="101">
        <f t="shared" si="8"/>
        <v>0.25</v>
      </c>
      <c r="W8" s="99" t="str">
        <f t="shared" si="9"/>
        <v>Deficit - Consider Transfer</v>
      </c>
      <c r="X8" s="102">
        <f t="shared" si="10"/>
        <v>-5</v>
      </c>
      <c r="Y8" s="99" t="str">
        <f t="shared" si="11"/>
        <v>Need Units</v>
      </c>
      <c r="Z8" s="90"/>
    </row>
    <row r="9" ht="22.5" customHeight="1">
      <c r="A9" s="85" t="s">
        <v>22</v>
      </c>
      <c r="B9" s="91">
        <v>1006.0</v>
      </c>
      <c r="C9" s="92" t="s">
        <v>77</v>
      </c>
      <c r="D9" s="92" t="s">
        <v>38</v>
      </c>
      <c r="E9" s="91">
        <v>30.0</v>
      </c>
      <c r="F9" s="93">
        <f> IF(ISBLANK(E9), VLOOKUP(B9,Sales_Forecast!A:C, 3, FALSE), E9)</f>
        <v>30</v>
      </c>
      <c r="G9" s="94">
        <v>39.99</v>
      </c>
      <c r="H9" s="95">
        <f t="shared" si="1"/>
        <v>39.99</v>
      </c>
      <c r="I9" s="94">
        <v>1199.7</v>
      </c>
      <c r="J9" s="116">
        <f t="shared" si="2"/>
        <v>1199.7</v>
      </c>
      <c r="K9" s="99"/>
      <c r="L9" s="96" t="str">
        <f t="shared" si="3"/>
        <v>PO_TEMP_9</v>
      </c>
      <c r="M9" s="97">
        <v>46192.0</v>
      </c>
      <c r="N9" s="98">
        <f t="shared" si="4"/>
        <v>46192</v>
      </c>
      <c r="O9" s="92" t="s">
        <v>78</v>
      </c>
      <c r="P9" s="99">
        <f>VLOOKUP(B9, Sales_Forecast!A:C, 3, FALSE)</f>
        <v>35</v>
      </c>
      <c r="Q9" s="99" t="str">
        <f t="shared" si="5"/>
        <v>Understock</v>
      </c>
      <c r="R9" s="100">
        <f>VLOOKUP(A9 &amp; "-" &amp; D9, OTB_Budget!A:E, 5, FALSE)</f>
        <v>2000</v>
      </c>
      <c r="S9" s="99" t="str">
        <f t="shared" si="6"/>
        <v>Within Budget</v>
      </c>
      <c r="T9" s="100">
        <f>VLOOKUP(B9, Sales_Forecast!A:D, 4, FALSE)</f>
        <v>1400</v>
      </c>
      <c r="U9" s="100">
        <f t="shared" si="7"/>
        <v>200.3</v>
      </c>
      <c r="V9" s="101">
        <f t="shared" si="8"/>
        <v>0.1430714286</v>
      </c>
      <c r="W9" s="99" t="str">
        <f t="shared" si="9"/>
        <v>Deficit - Consider Transfer</v>
      </c>
      <c r="X9" s="102">
        <f t="shared" si="10"/>
        <v>-5</v>
      </c>
      <c r="Y9" s="99" t="str">
        <f t="shared" si="11"/>
        <v>Need Units</v>
      </c>
      <c r="Z9" s="90"/>
    </row>
    <row r="10" ht="22.5" customHeight="1">
      <c r="A10" s="85" t="s">
        <v>25</v>
      </c>
      <c r="B10" s="91">
        <v>1007.0</v>
      </c>
      <c r="C10" s="92" t="s">
        <v>40</v>
      </c>
      <c r="D10" s="92" t="s">
        <v>32</v>
      </c>
      <c r="E10" s="91">
        <v>35.0</v>
      </c>
      <c r="F10" s="93">
        <f> IF(ISBLANK(E10), VLOOKUP(B10,Sales_Forecast!A:C, 3, FALSE), E10)</f>
        <v>35</v>
      </c>
      <c r="G10" s="94">
        <v>19.99</v>
      </c>
      <c r="H10" s="95">
        <f t="shared" si="1"/>
        <v>19.99</v>
      </c>
      <c r="I10" s="94">
        <v>699.65</v>
      </c>
      <c r="J10" s="95">
        <f t="shared" si="2"/>
        <v>699.65</v>
      </c>
      <c r="K10" s="92" t="s">
        <v>79</v>
      </c>
      <c r="L10" s="96" t="str">
        <f t="shared" si="3"/>
        <v>PO12348</v>
      </c>
      <c r="M10" s="97">
        <v>46189.0</v>
      </c>
      <c r="N10" s="107">
        <f t="shared" si="4"/>
        <v>46189</v>
      </c>
      <c r="O10" s="99"/>
      <c r="P10" s="99">
        <f>VLOOKUP(B10, Sales_Forecast!A:C, 3, FALSE)</f>
        <v>40</v>
      </c>
      <c r="Q10" s="99" t="str">
        <f t="shared" si="5"/>
        <v>Understock</v>
      </c>
      <c r="R10" s="100">
        <f>VLOOKUP(A10 &amp; "-" &amp; D10, OTB_Budget!A:E, 5, FALSE)</f>
        <v>3000</v>
      </c>
      <c r="S10" s="99" t="str">
        <f t="shared" si="6"/>
        <v>Within Budget</v>
      </c>
      <c r="T10" s="99">
        <f>VLOOKUP(B10, Sales_Forecast!A:D, 4, FALSE)</f>
        <v>799.6</v>
      </c>
      <c r="U10" s="114">
        <f t="shared" si="7"/>
        <v>99.95</v>
      </c>
      <c r="V10" s="101">
        <f t="shared" si="8"/>
        <v>0.125</v>
      </c>
      <c r="W10" s="99" t="str">
        <f t="shared" si="9"/>
        <v>Deficit - Consider Transfer</v>
      </c>
      <c r="X10" s="102">
        <f t="shared" si="10"/>
        <v>-5</v>
      </c>
      <c r="Y10" s="99" t="str">
        <f t="shared" si="11"/>
        <v>Need Units</v>
      </c>
      <c r="Z10" s="90"/>
    </row>
    <row r="11" ht="22.5" customHeight="1">
      <c r="A11" s="85" t="s">
        <v>28</v>
      </c>
      <c r="B11" s="91">
        <v>1008.0</v>
      </c>
      <c r="C11" s="92" t="s">
        <v>43</v>
      </c>
      <c r="D11" s="92" t="s">
        <v>72</v>
      </c>
      <c r="E11" s="91">
        <v>25.0</v>
      </c>
      <c r="F11" s="93">
        <f> IF(ISBLANK(E11), VLOOKUP(B11,Sales_Forecast!A:C, 3, FALSE), E11)</f>
        <v>25</v>
      </c>
      <c r="G11" s="94">
        <v>34.99</v>
      </c>
      <c r="H11" s="95">
        <f t="shared" si="1"/>
        <v>34.99</v>
      </c>
      <c r="I11" s="94">
        <v>874.75</v>
      </c>
      <c r="J11" s="95">
        <f t="shared" si="2"/>
        <v>874.75</v>
      </c>
      <c r="K11" s="92" t="s">
        <v>80</v>
      </c>
      <c r="L11" s="96" t="str">
        <f t="shared" si="3"/>
        <v>PO22348</v>
      </c>
      <c r="M11" s="97">
        <v>46194.0</v>
      </c>
      <c r="N11" s="107">
        <f t="shared" si="4"/>
        <v>46194</v>
      </c>
      <c r="O11" s="99"/>
      <c r="P11" s="99">
        <f>VLOOKUP(B11, Sales_Forecast!A:C, 3, FALSE)</f>
        <v>25</v>
      </c>
      <c r="Q11" s="99" t="str">
        <f t="shared" si="5"/>
        <v>Balanced</v>
      </c>
      <c r="R11" s="100">
        <f>VLOOKUP(A11 &amp; "-" &amp; D11, OTB_Budget!A:E, 5, FALSE)</f>
        <v>4000</v>
      </c>
      <c r="S11" s="99" t="str">
        <f t="shared" si="6"/>
        <v>Within Budget</v>
      </c>
      <c r="T11" s="99">
        <f>VLOOKUP(B11, Sales_Forecast!A:D, 4, FALSE)</f>
        <v>875</v>
      </c>
      <c r="U11" s="114">
        <f t="shared" si="7"/>
        <v>0.25</v>
      </c>
      <c r="V11" s="101">
        <f t="shared" si="8"/>
        <v>0.0002857142857</v>
      </c>
      <c r="W11" s="99" t="str">
        <f t="shared" si="9"/>
        <v>Balanced</v>
      </c>
      <c r="X11" s="102">
        <f t="shared" si="10"/>
        <v>0</v>
      </c>
      <c r="Y11" s="99" t="str">
        <f t="shared" si="11"/>
        <v>On Plan</v>
      </c>
      <c r="Z11" s="90"/>
    </row>
    <row r="12" ht="22.5" customHeight="1">
      <c r="A12" s="85" t="s">
        <v>22</v>
      </c>
      <c r="B12" s="91">
        <v>1009.0</v>
      </c>
      <c r="C12" s="92" t="s">
        <v>39</v>
      </c>
      <c r="D12" s="92" t="s">
        <v>24</v>
      </c>
      <c r="E12" s="110"/>
      <c r="F12" s="111">
        <f> IF(ISBLANK(E12), VLOOKUP(B12,Sales_Forecast!A:C, 3, FALSE), E12)</f>
        <v>30</v>
      </c>
      <c r="G12" s="94">
        <v>32.99</v>
      </c>
      <c r="H12" s="95">
        <f t="shared" si="1"/>
        <v>32.99</v>
      </c>
      <c r="I12" s="94">
        <v>1059.6</v>
      </c>
      <c r="J12" s="95">
        <f t="shared" si="2"/>
        <v>1059.6</v>
      </c>
      <c r="K12" s="92" t="s">
        <v>81</v>
      </c>
      <c r="L12" s="112" t="str">
        <f t="shared" si="3"/>
        <v>PO32347</v>
      </c>
      <c r="M12" s="113">
        <v>46193.0</v>
      </c>
      <c r="N12" s="98">
        <f t="shared" si="4"/>
        <v>46193</v>
      </c>
      <c r="O12" s="92" t="s">
        <v>74</v>
      </c>
      <c r="P12" s="99">
        <f>VLOOKUP(B12, Sales_Forecast!A:C, 3, FALSE)</f>
        <v>30</v>
      </c>
      <c r="Q12" s="99" t="str">
        <f t="shared" si="5"/>
        <v>Balanced</v>
      </c>
      <c r="R12" s="100">
        <f>VLOOKUP(A12 &amp; "-" &amp; D12, OTB_Budget!A:E, 5, FALSE)</f>
        <v>9000</v>
      </c>
      <c r="S12" s="99" t="str">
        <f t="shared" si="6"/>
        <v>Within Budget</v>
      </c>
      <c r="T12" s="99">
        <f>VLOOKUP(B12, Sales_Forecast!A:D, 4, FALSE)</f>
        <v>989.7</v>
      </c>
      <c r="U12" s="114">
        <f t="shared" si="7"/>
        <v>-69.9</v>
      </c>
      <c r="V12" s="101">
        <f t="shared" si="8"/>
        <v>-0.07062746287</v>
      </c>
      <c r="W12" s="99" t="str">
        <f t="shared" si="9"/>
        <v>Balanced</v>
      </c>
      <c r="X12" s="99">
        <f t="shared" si="10"/>
        <v>0</v>
      </c>
      <c r="Y12" s="99" t="str">
        <f t="shared" si="11"/>
        <v>On Plan</v>
      </c>
      <c r="Z12" s="117"/>
    </row>
    <row r="13" ht="22.5" customHeight="1">
      <c r="A13" s="85" t="s">
        <v>25</v>
      </c>
      <c r="B13" s="91">
        <v>1010.0</v>
      </c>
      <c r="C13" s="92" t="s">
        <v>42</v>
      </c>
      <c r="D13" s="92" t="s">
        <v>30</v>
      </c>
      <c r="E13" s="91">
        <v>20.0</v>
      </c>
      <c r="F13" s="93">
        <f> IF(ISBLANK(E13), VLOOKUP(B13,Sales_Forecast!A:C, 3, FALSE), E13)</f>
        <v>20</v>
      </c>
      <c r="G13" s="94">
        <v>49.99</v>
      </c>
      <c r="H13" s="116">
        <f t="shared" si="1"/>
        <v>49.99</v>
      </c>
      <c r="I13" s="114"/>
      <c r="J13" s="95">
        <f t="shared" si="2"/>
        <v>999.8</v>
      </c>
      <c r="K13" s="92" t="s">
        <v>82</v>
      </c>
      <c r="L13" s="118" t="str">
        <f t="shared" si="3"/>
        <v>PO12349</v>
      </c>
      <c r="M13" s="119">
        <v>46191.0</v>
      </c>
      <c r="N13" s="98">
        <f t="shared" si="4"/>
        <v>46191</v>
      </c>
      <c r="O13" s="92" t="s">
        <v>83</v>
      </c>
      <c r="P13" s="99">
        <f>VLOOKUP(B13, Sales_Forecast!A:C, 3, FALSE)</f>
        <v>25</v>
      </c>
      <c r="Q13" s="99" t="str">
        <f t="shared" si="5"/>
        <v>Understock</v>
      </c>
      <c r="R13" s="100">
        <f>VLOOKUP(A13 &amp; "-" &amp; D13, OTB_Budget!A:E, 5, FALSE)</f>
        <v>7500</v>
      </c>
      <c r="S13" s="99" t="str">
        <f t="shared" si="6"/>
        <v>Within Budget</v>
      </c>
      <c r="T13" s="100">
        <f>VLOOKUP(B13, Sales_Forecast!A:D, 4, FALSE)</f>
        <v>1200</v>
      </c>
      <c r="U13" s="100">
        <f t="shared" si="7"/>
        <v>200.2</v>
      </c>
      <c r="V13" s="101">
        <f t="shared" si="8"/>
        <v>0.1668333333</v>
      </c>
      <c r="W13" s="99" t="str">
        <f t="shared" si="9"/>
        <v>Deficit - Consider Transfer</v>
      </c>
      <c r="X13" s="102">
        <f t="shared" si="10"/>
        <v>-5</v>
      </c>
      <c r="Y13" s="99" t="str">
        <f t="shared" si="11"/>
        <v>Need Units</v>
      </c>
      <c r="Z13" s="90"/>
    </row>
    <row r="14" ht="22.5" customHeight="1">
      <c r="A14" s="85" t="s">
        <v>28</v>
      </c>
      <c r="B14" s="91">
        <v>1011.0</v>
      </c>
      <c r="C14" s="92" t="s">
        <v>44</v>
      </c>
      <c r="D14" s="92" t="s">
        <v>38</v>
      </c>
      <c r="E14" s="91">
        <v>15.0</v>
      </c>
      <c r="F14" s="93">
        <f> IF(ISBLANK(E14), VLOOKUP(B14,Sales_Forecast!A:C, 3, FALSE), E14)</f>
        <v>15</v>
      </c>
      <c r="G14" s="94">
        <v>39.99</v>
      </c>
      <c r="H14" s="95">
        <f t="shared" si="1"/>
        <v>39.99</v>
      </c>
      <c r="I14" s="94">
        <v>599.85</v>
      </c>
      <c r="J14" s="95">
        <f t="shared" si="2"/>
        <v>599.85</v>
      </c>
      <c r="K14" s="92" t="s">
        <v>84</v>
      </c>
      <c r="L14" s="96" t="str">
        <f t="shared" si="3"/>
        <v>PO22349</v>
      </c>
      <c r="M14" s="97">
        <v>46196.0</v>
      </c>
      <c r="N14" s="107">
        <f t="shared" si="4"/>
        <v>46196</v>
      </c>
      <c r="O14" s="99"/>
      <c r="P14" s="99">
        <f>VLOOKUP(B14, Sales_Forecast!A:C, 3, FALSE)</f>
        <v>20</v>
      </c>
      <c r="Q14" s="99" t="str">
        <f t="shared" si="5"/>
        <v>Understock</v>
      </c>
      <c r="R14" s="100">
        <f>VLOOKUP(A14 &amp; "-" &amp; D14, OTB_Budget!A:E, 5, FALSE)</f>
        <v>3000</v>
      </c>
      <c r="S14" s="99" t="str">
        <f t="shared" si="6"/>
        <v>Within Budget</v>
      </c>
      <c r="T14" s="99">
        <f>VLOOKUP(B14, Sales_Forecast!A:D, 4, FALSE)</f>
        <v>800</v>
      </c>
      <c r="U14" s="114">
        <f t="shared" si="7"/>
        <v>200.15</v>
      </c>
      <c r="V14" s="101">
        <f t="shared" si="8"/>
        <v>0.2501875</v>
      </c>
      <c r="W14" s="99" t="str">
        <f t="shared" si="9"/>
        <v>Deficit - Consider Transfer</v>
      </c>
      <c r="X14" s="102">
        <f t="shared" si="10"/>
        <v>-5</v>
      </c>
      <c r="Y14" s="99" t="str">
        <f t="shared" si="11"/>
        <v>Need Units</v>
      </c>
      <c r="Z14" s="90"/>
    </row>
    <row r="15" ht="22.5" customHeight="1">
      <c r="A15" s="85" t="s">
        <v>22</v>
      </c>
      <c r="B15" s="91">
        <v>1012.0</v>
      </c>
      <c r="C15" s="92" t="s">
        <v>41</v>
      </c>
      <c r="D15" s="92" t="s">
        <v>32</v>
      </c>
      <c r="E15" s="91">
        <v>18.0</v>
      </c>
      <c r="F15" s="93">
        <f> IF(ISBLANK(E15), VLOOKUP(B15,Sales_Forecast!A:C, 3, FALSE), E15)</f>
        <v>18</v>
      </c>
      <c r="G15" s="94">
        <v>34.99</v>
      </c>
      <c r="H15" s="95">
        <f t="shared" si="1"/>
        <v>34.99</v>
      </c>
      <c r="I15" s="94">
        <v>629.82</v>
      </c>
      <c r="J15" s="95">
        <f t="shared" si="2"/>
        <v>629.82</v>
      </c>
      <c r="K15" s="92" t="s">
        <v>85</v>
      </c>
      <c r="L15" s="103" t="str">
        <f t="shared" si="3"/>
        <v>PO32348</v>
      </c>
      <c r="M15" s="104">
        <v>46192.0</v>
      </c>
      <c r="N15" s="107">
        <f t="shared" si="4"/>
        <v>46192</v>
      </c>
      <c r="O15" s="99"/>
      <c r="P15" s="99">
        <f>VLOOKUP(B15, Sales_Forecast!A:C, 3, FALSE)</f>
        <v>18</v>
      </c>
      <c r="Q15" s="99" t="str">
        <f t="shared" si="5"/>
        <v>Balanced</v>
      </c>
      <c r="R15" s="100">
        <f>VLOOKUP(A15 &amp; "-" &amp; D15, OTB_Budget!A:E, 5, FALSE)</f>
        <v>2000</v>
      </c>
      <c r="S15" s="99" t="str">
        <f t="shared" si="6"/>
        <v>Within Budget</v>
      </c>
      <c r="T15" s="99">
        <f>VLOOKUP(B15, Sales_Forecast!A:D, 4, FALSE)</f>
        <v>630</v>
      </c>
      <c r="U15" s="114">
        <f t="shared" si="7"/>
        <v>0.18</v>
      </c>
      <c r="V15" s="101">
        <f t="shared" si="8"/>
        <v>0.0002857142857</v>
      </c>
      <c r="W15" s="99" t="str">
        <f t="shared" si="9"/>
        <v>Balanced</v>
      </c>
      <c r="X15" s="102">
        <f t="shared" si="10"/>
        <v>0</v>
      </c>
      <c r="Y15" s="99" t="str">
        <f t="shared" si="11"/>
        <v>On Plan</v>
      </c>
      <c r="Z15" s="90"/>
    </row>
    <row r="16">
      <c r="A16" s="90"/>
      <c r="B16" s="90"/>
      <c r="C16" s="90"/>
      <c r="D16" s="90"/>
      <c r="E16" s="90"/>
      <c r="F16" s="90"/>
      <c r="G16" s="90"/>
      <c r="H16" s="90"/>
      <c r="I16" s="90"/>
      <c r="J16" s="90"/>
      <c r="K16" s="90"/>
      <c r="L16" s="90"/>
      <c r="M16" s="90"/>
      <c r="N16" s="90"/>
      <c r="O16" s="90"/>
      <c r="P16" s="90"/>
      <c r="Q16" s="90"/>
      <c r="R16" s="90"/>
      <c r="S16" s="90"/>
      <c r="T16" s="90"/>
      <c r="U16" s="90"/>
      <c r="V16" s="120"/>
      <c r="W16" s="90"/>
      <c r="X16" s="90"/>
      <c r="Y16" s="90"/>
      <c r="Z16" s="90"/>
    </row>
    <row r="17">
      <c r="A17" s="121"/>
      <c r="B17" s="90"/>
      <c r="C17" s="90"/>
      <c r="D17" s="90"/>
      <c r="E17" s="90"/>
      <c r="F17" s="90"/>
      <c r="G17" s="90"/>
      <c r="H17" s="90"/>
      <c r="I17" s="90"/>
      <c r="J17" s="90"/>
      <c r="K17" s="90"/>
      <c r="L17" s="90"/>
      <c r="M17" s="90"/>
      <c r="N17" s="90"/>
      <c r="O17" s="90"/>
      <c r="P17" s="90"/>
      <c r="Q17" s="90"/>
      <c r="R17" s="90"/>
      <c r="S17" s="90"/>
      <c r="T17" s="90"/>
      <c r="U17" s="90"/>
      <c r="V17" s="120"/>
      <c r="W17" s="90"/>
      <c r="X17" s="90"/>
      <c r="Y17" s="90"/>
      <c r="Z17" s="90"/>
    </row>
    <row r="18">
      <c r="A18" s="121"/>
      <c r="B18" s="90"/>
      <c r="C18" s="90"/>
      <c r="D18" s="90"/>
      <c r="E18" s="90"/>
      <c r="F18" s="90"/>
      <c r="G18" s="90"/>
      <c r="H18" s="90"/>
      <c r="I18" s="90"/>
      <c r="J18" s="90"/>
      <c r="K18" s="90"/>
      <c r="L18" s="90"/>
      <c r="M18" s="90"/>
      <c r="N18" s="90"/>
      <c r="O18" s="90"/>
      <c r="P18" s="90"/>
      <c r="Q18" s="90"/>
      <c r="R18" s="90"/>
      <c r="S18" s="90"/>
      <c r="T18" s="90"/>
      <c r="U18" s="90"/>
      <c r="V18" s="120"/>
      <c r="W18" s="90"/>
      <c r="X18" s="90"/>
      <c r="Y18" s="90"/>
      <c r="Z18" s="90"/>
    </row>
    <row r="19">
      <c r="A19" s="90"/>
      <c r="B19" s="90"/>
      <c r="C19" s="90"/>
      <c r="D19" s="90"/>
      <c r="E19" s="90"/>
      <c r="F19" s="90"/>
      <c r="G19" s="90"/>
      <c r="H19" s="90"/>
      <c r="I19" s="90"/>
      <c r="J19" s="90"/>
      <c r="K19" s="90"/>
      <c r="L19" s="90"/>
      <c r="M19" s="90"/>
      <c r="N19" s="90"/>
      <c r="O19" s="90"/>
      <c r="P19" s="90"/>
      <c r="Q19" s="90"/>
      <c r="R19" s="90"/>
      <c r="S19" s="90"/>
      <c r="T19" s="90"/>
      <c r="U19" s="90"/>
      <c r="V19" s="120"/>
      <c r="W19" s="90"/>
      <c r="X19" s="90"/>
      <c r="Y19" s="90"/>
      <c r="Z19" s="90"/>
    </row>
    <row r="20">
      <c r="A20" s="90"/>
      <c r="B20" s="90"/>
      <c r="C20" s="90"/>
      <c r="D20" s="90"/>
      <c r="E20" s="90"/>
      <c r="F20" s="90"/>
      <c r="G20" s="90"/>
      <c r="H20" s="90"/>
      <c r="I20" s="90"/>
      <c r="J20" s="90"/>
      <c r="K20" s="90"/>
      <c r="L20" s="90"/>
      <c r="M20" s="90"/>
      <c r="N20" s="90"/>
      <c r="O20" s="90"/>
      <c r="P20" s="90"/>
      <c r="Q20" s="90"/>
      <c r="R20" s="90"/>
      <c r="S20" s="90"/>
      <c r="T20" s="90"/>
      <c r="U20" s="90"/>
      <c r="V20" s="120"/>
      <c r="W20" s="90"/>
      <c r="X20" s="90"/>
      <c r="Y20" s="90"/>
      <c r="Z20" s="90"/>
    </row>
    <row r="21">
      <c r="A21" s="90"/>
      <c r="B21" s="90"/>
      <c r="C21" s="90"/>
      <c r="D21" s="90"/>
      <c r="E21" s="90"/>
      <c r="F21" s="90"/>
      <c r="G21" s="90"/>
      <c r="H21" s="90"/>
      <c r="I21" s="90"/>
      <c r="J21" s="90"/>
      <c r="K21" s="90"/>
      <c r="L21" s="90"/>
      <c r="M21" s="90"/>
      <c r="N21" s="90"/>
      <c r="O21" s="90"/>
      <c r="P21" s="90"/>
      <c r="Q21" s="90"/>
      <c r="R21" s="90"/>
      <c r="S21" s="90"/>
      <c r="T21" s="90"/>
      <c r="U21" s="90"/>
      <c r="V21" s="120"/>
      <c r="W21" s="90"/>
      <c r="X21" s="90"/>
      <c r="Y21" s="90"/>
      <c r="Z21" s="90"/>
    </row>
    <row r="22">
      <c r="A22" s="90"/>
      <c r="B22" s="90"/>
      <c r="C22" s="90"/>
      <c r="D22" s="90"/>
      <c r="E22" s="90"/>
      <c r="F22" s="90"/>
      <c r="G22" s="90"/>
      <c r="H22" s="90"/>
      <c r="I22" s="90"/>
      <c r="J22" s="90"/>
      <c r="K22" s="90"/>
      <c r="L22" s="90"/>
      <c r="M22" s="90"/>
      <c r="N22" s="90"/>
      <c r="O22" s="90"/>
      <c r="P22" s="90"/>
      <c r="Q22" s="90"/>
      <c r="R22" s="90"/>
      <c r="S22" s="90"/>
      <c r="T22" s="90"/>
      <c r="U22" s="90"/>
      <c r="V22" s="120"/>
      <c r="W22" s="90"/>
      <c r="X22" s="90"/>
      <c r="Y22" s="90"/>
      <c r="Z22" s="90"/>
    </row>
    <row r="23">
      <c r="A23" s="90"/>
      <c r="B23" s="90"/>
      <c r="C23" s="90"/>
      <c r="D23" s="90"/>
      <c r="E23" s="90"/>
      <c r="F23" s="90"/>
      <c r="G23" s="90"/>
      <c r="H23" s="90"/>
      <c r="I23" s="90"/>
      <c r="J23" s="90"/>
      <c r="K23" s="90"/>
      <c r="L23" s="90"/>
      <c r="M23" s="90"/>
      <c r="N23" s="90"/>
      <c r="O23" s="90"/>
      <c r="P23" s="90"/>
      <c r="Q23" s="90"/>
      <c r="R23" s="90"/>
      <c r="S23" s="90"/>
      <c r="T23" s="90"/>
      <c r="U23" s="90"/>
      <c r="V23" s="120"/>
      <c r="W23" s="90"/>
      <c r="X23" s="90"/>
      <c r="Y23" s="90"/>
      <c r="Z23" s="90"/>
    </row>
    <row r="24">
      <c r="A24" s="90"/>
      <c r="B24" s="90"/>
      <c r="C24" s="90"/>
      <c r="D24" s="90"/>
      <c r="E24" s="90"/>
      <c r="F24" s="90"/>
      <c r="G24" s="90"/>
      <c r="H24" s="90"/>
      <c r="I24" s="90"/>
      <c r="J24" s="90"/>
      <c r="K24" s="90"/>
      <c r="L24" s="90"/>
      <c r="M24" s="90"/>
      <c r="N24" s="90"/>
      <c r="O24" s="90"/>
      <c r="P24" s="90"/>
      <c r="Q24" s="90"/>
      <c r="R24" s="90"/>
      <c r="S24" s="90"/>
      <c r="T24" s="90"/>
      <c r="U24" s="90"/>
      <c r="V24" s="120"/>
      <c r="W24" s="90"/>
      <c r="X24" s="90"/>
      <c r="Y24" s="90"/>
      <c r="Z24" s="90"/>
    </row>
    <row r="25">
      <c r="A25" s="90"/>
      <c r="B25" s="90"/>
      <c r="C25" s="90"/>
      <c r="D25" s="90"/>
      <c r="E25" s="90"/>
      <c r="F25" s="90"/>
      <c r="G25" s="90"/>
      <c r="H25" s="90"/>
      <c r="I25" s="90"/>
      <c r="J25" s="90"/>
      <c r="K25" s="90"/>
      <c r="L25" s="90"/>
      <c r="M25" s="90"/>
      <c r="N25" s="90"/>
      <c r="O25" s="90"/>
      <c r="P25" s="90"/>
      <c r="Q25" s="90"/>
      <c r="R25" s="90"/>
      <c r="S25" s="90"/>
      <c r="T25" s="90"/>
      <c r="U25" s="90"/>
      <c r="V25" s="120"/>
      <c r="W25" s="90"/>
      <c r="X25" s="90"/>
      <c r="Y25" s="90"/>
      <c r="Z25" s="90"/>
    </row>
    <row r="26">
      <c r="A26" s="90"/>
      <c r="B26" s="90"/>
      <c r="C26" s="90"/>
      <c r="D26" s="90"/>
      <c r="E26" s="90"/>
      <c r="F26" s="90"/>
      <c r="G26" s="90"/>
      <c r="H26" s="90"/>
      <c r="I26" s="90"/>
      <c r="J26" s="90"/>
      <c r="K26" s="90"/>
      <c r="L26" s="90"/>
      <c r="M26" s="90"/>
      <c r="N26" s="90"/>
      <c r="O26" s="90"/>
      <c r="P26" s="90"/>
      <c r="Q26" s="90"/>
      <c r="R26" s="90"/>
      <c r="S26" s="90"/>
      <c r="T26" s="90"/>
      <c r="U26" s="90"/>
      <c r="V26" s="120"/>
      <c r="W26" s="90"/>
      <c r="X26" s="90"/>
      <c r="Y26" s="90"/>
      <c r="Z26" s="90"/>
    </row>
    <row r="27">
      <c r="A27" s="90"/>
      <c r="B27" s="90"/>
      <c r="C27" s="90"/>
      <c r="D27" s="90"/>
      <c r="E27" s="90"/>
      <c r="F27" s="90"/>
      <c r="G27" s="90"/>
      <c r="H27" s="90"/>
      <c r="I27" s="90"/>
      <c r="J27" s="90"/>
      <c r="K27" s="90"/>
      <c r="L27" s="90"/>
      <c r="M27" s="90"/>
      <c r="N27" s="90"/>
      <c r="O27" s="90"/>
      <c r="P27" s="90"/>
      <c r="Q27" s="90"/>
      <c r="R27" s="90"/>
      <c r="S27" s="90"/>
      <c r="T27" s="90"/>
      <c r="U27" s="90"/>
      <c r="V27" s="120"/>
      <c r="W27" s="90"/>
      <c r="X27" s="90"/>
      <c r="Y27" s="90"/>
      <c r="Z27" s="90"/>
    </row>
    <row r="28">
      <c r="A28" s="90"/>
      <c r="B28" s="90"/>
      <c r="C28" s="90"/>
      <c r="D28" s="90"/>
      <c r="E28" s="90"/>
      <c r="F28" s="90"/>
      <c r="G28" s="90"/>
      <c r="H28" s="90"/>
      <c r="I28" s="90"/>
      <c r="J28" s="90"/>
      <c r="K28" s="90"/>
      <c r="L28" s="90"/>
      <c r="M28" s="90"/>
      <c r="N28" s="90"/>
      <c r="O28" s="90"/>
      <c r="P28" s="90"/>
      <c r="Q28" s="90"/>
      <c r="R28" s="90"/>
      <c r="S28" s="90"/>
      <c r="T28" s="90"/>
      <c r="U28" s="90"/>
      <c r="V28" s="120"/>
      <c r="W28" s="90"/>
      <c r="X28" s="90"/>
      <c r="Y28" s="90"/>
      <c r="Z28" s="90"/>
    </row>
    <row r="29">
      <c r="A29" s="90"/>
      <c r="B29" s="90"/>
      <c r="C29" s="90"/>
      <c r="D29" s="90"/>
      <c r="E29" s="90"/>
      <c r="F29" s="90"/>
      <c r="G29" s="90"/>
      <c r="H29" s="90"/>
      <c r="I29" s="90"/>
      <c r="J29" s="90"/>
      <c r="K29" s="90"/>
      <c r="L29" s="90"/>
      <c r="M29" s="90"/>
      <c r="N29" s="90"/>
      <c r="O29" s="90"/>
      <c r="P29" s="90"/>
      <c r="Q29" s="90"/>
      <c r="R29" s="90"/>
      <c r="S29" s="90"/>
      <c r="T29" s="90"/>
      <c r="U29" s="90"/>
      <c r="V29" s="120"/>
      <c r="W29" s="90"/>
      <c r="X29" s="90"/>
      <c r="Y29" s="90"/>
      <c r="Z29" s="90"/>
    </row>
    <row r="30">
      <c r="A30" s="90"/>
      <c r="B30" s="90"/>
      <c r="C30" s="90"/>
      <c r="D30" s="90"/>
      <c r="E30" s="90"/>
      <c r="F30" s="90"/>
      <c r="G30" s="90"/>
      <c r="H30" s="90"/>
      <c r="I30" s="90"/>
      <c r="J30" s="90"/>
      <c r="K30" s="90"/>
      <c r="L30" s="90"/>
      <c r="M30" s="90"/>
      <c r="N30" s="90"/>
      <c r="O30" s="90"/>
      <c r="P30" s="90"/>
      <c r="Q30" s="90"/>
      <c r="R30" s="90"/>
      <c r="S30" s="90"/>
      <c r="T30" s="90"/>
      <c r="U30" s="90"/>
      <c r="V30" s="120"/>
      <c r="W30" s="90"/>
      <c r="X30" s="90"/>
      <c r="Y30" s="90"/>
      <c r="Z30" s="90"/>
    </row>
    <row r="31">
      <c r="A31" s="90"/>
      <c r="B31" s="90"/>
      <c r="C31" s="90"/>
      <c r="D31" s="90"/>
      <c r="E31" s="90"/>
      <c r="F31" s="90"/>
      <c r="G31" s="90"/>
      <c r="H31" s="90"/>
      <c r="I31" s="90"/>
      <c r="J31" s="90"/>
      <c r="K31" s="90"/>
      <c r="L31" s="90"/>
      <c r="M31" s="90"/>
      <c r="N31" s="90"/>
      <c r="O31" s="90"/>
      <c r="P31" s="90"/>
      <c r="Q31" s="90"/>
      <c r="R31" s="90"/>
      <c r="S31" s="90"/>
      <c r="T31" s="90"/>
      <c r="U31" s="90"/>
      <c r="V31" s="120"/>
      <c r="W31" s="90"/>
      <c r="X31" s="90"/>
      <c r="Y31" s="90"/>
      <c r="Z31" s="90"/>
    </row>
    <row r="32">
      <c r="A32" s="90"/>
      <c r="B32" s="90"/>
      <c r="C32" s="90"/>
      <c r="D32" s="90"/>
      <c r="E32" s="90"/>
      <c r="F32" s="90"/>
      <c r="G32" s="90"/>
      <c r="H32" s="90"/>
      <c r="I32" s="90"/>
      <c r="J32" s="90"/>
      <c r="K32" s="90"/>
      <c r="L32" s="90"/>
      <c r="M32" s="90"/>
      <c r="N32" s="90"/>
      <c r="O32" s="90"/>
      <c r="P32" s="90"/>
      <c r="Q32" s="90"/>
      <c r="R32" s="90"/>
      <c r="S32" s="90"/>
      <c r="T32" s="90"/>
      <c r="U32" s="90"/>
      <c r="V32" s="120"/>
      <c r="W32" s="90"/>
      <c r="X32" s="90"/>
      <c r="Y32" s="90"/>
      <c r="Z32" s="90"/>
    </row>
    <row r="33">
      <c r="A33" s="90"/>
      <c r="B33" s="90"/>
      <c r="C33" s="90"/>
      <c r="D33" s="90"/>
      <c r="E33" s="90"/>
      <c r="F33" s="90"/>
      <c r="G33" s="90"/>
      <c r="H33" s="90"/>
      <c r="I33" s="90"/>
      <c r="J33" s="90"/>
      <c r="K33" s="90"/>
      <c r="L33" s="90"/>
      <c r="M33" s="90"/>
      <c r="N33" s="90"/>
      <c r="O33" s="90"/>
      <c r="P33" s="90"/>
      <c r="Q33" s="90"/>
      <c r="R33" s="90"/>
      <c r="S33" s="90"/>
      <c r="T33" s="90"/>
      <c r="U33" s="90"/>
      <c r="V33" s="120"/>
      <c r="W33" s="90"/>
      <c r="X33" s="90"/>
      <c r="Y33" s="90"/>
      <c r="Z33" s="90"/>
    </row>
    <row r="34">
      <c r="A34" s="90"/>
      <c r="B34" s="90"/>
      <c r="C34" s="90"/>
      <c r="D34" s="90"/>
      <c r="E34" s="90"/>
      <c r="F34" s="90"/>
      <c r="G34" s="90"/>
      <c r="H34" s="90"/>
      <c r="I34" s="90"/>
      <c r="J34" s="90"/>
      <c r="K34" s="90"/>
      <c r="L34" s="90"/>
      <c r="M34" s="90"/>
      <c r="N34" s="90"/>
      <c r="O34" s="90"/>
      <c r="P34" s="90"/>
      <c r="Q34" s="90"/>
      <c r="R34" s="90"/>
      <c r="S34" s="90"/>
      <c r="T34" s="90"/>
      <c r="U34" s="90"/>
      <c r="V34" s="120"/>
      <c r="W34" s="90"/>
      <c r="X34" s="90"/>
      <c r="Y34" s="90"/>
      <c r="Z34" s="90"/>
    </row>
    <row r="35">
      <c r="A35" s="90"/>
      <c r="B35" s="90"/>
      <c r="C35" s="90"/>
      <c r="D35" s="90"/>
      <c r="E35" s="90"/>
      <c r="F35" s="90"/>
      <c r="G35" s="90"/>
      <c r="H35" s="90"/>
      <c r="I35" s="90"/>
      <c r="J35" s="90"/>
      <c r="K35" s="90"/>
      <c r="L35" s="90"/>
      <c r="M35" s="90"/>
      <c r="N35" s="90"/>
      <c r="O35" s="90"/>
      <c r="P35" s="90"/>
      <c r="Q35" s="90"/>
      <c r="R35" s="90"/>
      <c r="S35" s="90"/>
      <c r="T35" s="90"/>
      <c r="U35" s="90"/>
      <c r="V35" s="120"/>
      <c r="W35" s="90"/>
      <c r="X35" s="90"/>
      <c r="Y35" s="90"/>
      <c r="Z35" s="90"/>
    </row>
    <row r="36">
      <c r="A36" s="90"/>
      <c r="B36" s="90"/>
      <c r="C36" s="90"/>
      <c r="D36" s="90"/>
      <c r="E36" s="90"/>
      <c r="F36" s="90"/>
      <c r="G36" s="90"/>
      <c r="H36" s="90"/>
      <c r="I36" s="90"/>
      <c r="J36" s="90"/>
      <c r="K36" s="90"/>
      <c r="L36" s="90"/>
      <c r="M36" s="90"/>
      <c r="N36" s="90"/>
      <c r="O36" s="90"/>
      <c r="P36" s="90"/>
      <c r="Q36" s="90"/>
      <c r="R36" s="90"/>
      <c r="S36" s="90"/>
      <c r="T36" s="90"/>
      <c r="U36" s="90"/>
      <c r="V36" s="120"/>
      <c r="W36" s="90"/>
      <c r="X36" s="90"/>
      <c r="Y36" s="90"/>
      <c r="Z36" s="90"/>
    </row>
    <row r="37">
      <c r="A37" s="90"/>
      <c r="B37" s="90"/>
      <c r="C37" s="90"/>
      <c r="D37" s="90"/>
      <c r="E37" s="90"/>
      <c r="F37" s="90"/>
      <c r="G37" s="90"/>
      <c r="H37" s="90"/>
      <c r="I37" s="90"/>
      <c r="J37" s="90"/>
      <c r="K37" s="90"/>
      <c r="L37" s="90"/>
      <c r="M37" s="90"/>
      <c r="N37" s="90"/>
      <c r="O37" s="90"/>
      <c r="P37" s="90"/>
      <c r="Q37" s="90"/>
      <c r="R37" s="90"/>
      <c r="S37" s="90"/>
      <c r="T37" s="90"/>
      <c r="U37" s="90"/>
      <c r="V37" s="120"/>
      <c r="W37" s="90"/>
      <c r="X37" s="90"/>
      <c r="Y37" s="90"/>
      <c r="Z37" s="90"/>
    </row>
    <row r="38">
      <c r="A38" s="90"/>
      <c r="B38" s="90"/>
      <c r="C38" s="90"/>
      <c r="D38" s="90"/>
      <c r="E38" s="90"/>
      <c r="F38" s="90"/>
      <c r="G38" s="90"/>
      <c r="H38" s="90"/>
      <c r="I38" s="90"/>
      <c r="J38" s="90"/>
      <c r="K38" s="90"/>
      <c r="L38" s="90"/>
      <c r="M38" s="90"/>
      <c r="N38" s="90"/>
      <c r="O38" s="90"/>
      <c r="P38" s="90"/>
      <c r="Q38" s="90"/>
      <c r="R38" s="90"/>
      <c r="S38" s="90"/>
      <c r="T38" s="90"/>
      <c r="U38" s="90"/>
      <c r="V38" s="120"/>
      <c r="W38" s="90"/>
      <c r="X38" s="90"/>
      <c r="Y38" s="90"/>
      <c r="Z38" s="90"/>
    </row>
    <row r="39">
      <c r="A39" s="90"/>
      <c r="B39" s="90"/>
      <c r="C39" s="90"/>
      <c r="D39" s="90"/>
      <c r="E39" s="90"/>
      <c r="F39" s="90"/>
      <c r="G39" s="90"/>
      <c r="H39" s="90"/>
      <c r="I39" s="90"/>
      <c r="J39" s="90"/>
      <c r="K39" s="90"/>
      <c r="L39" s="90"/>
      <c r="M39" s="90"/>
      <c r="N39" s="90"/>
      <c r="O39" s="90"/>
      <c r="P39" s="90"/>
      <c r="Q39" s="90"/>
      <c r="R39" s="90"/>
      <c r="S39" s="90"/>
      <c r="T39" s="90"/>
      <c r="U39" s="90"/>
      <c r="V39" s="120"/>
      <c r="W39" s="90"/>
      <c r="X39" s="90"/>
      <c r="Y39" s="90"/>
      <c r="Z39" s="90"/>
    </row>
    <row r="40">
      <c r="A40" s="90"/>
      <c r="B40" s="90"/>
      <c r="C40" s="90"/>
      <c r="D40" s="90"/>
      <c r="E40" s="90"/>
      <c r="F40" s="90"/>
      <c r="G40" s="90"/>
      <c r="H40" s="90"/>
      <c r="I40" s="90"/>
      <c r="J40" s="90"/>
      <c r="K40" s="90"/>
      <c r="L40" s="90"/>
      <c r="M40" s="90"/>
      <c r="N40" s="90"/>
      <c r="O40" s="90"/>
      <c r="P40" s="90"/>
      <c r="Q40" s="90"/>
      <c r="R40" s="90"/>
      <c r="S40" s="90"/>
      <c r="T40" s="90"/>
      <c r="U40" s="90"/>
      <c r="V40" s="120"/>
      <c r="W40" s="90"/>
      <c r="X40" s="90"/>
      <c r="Y40" s="90"/>
      <c r="Z40" s="90"/>
    </row>
    <row r="41">
      <c r="A41" s="90"/>
      <c r="B41" s="90"/>
      <c r="C41" s="90"/>
      <c r="D41" s="90"/>
      <c r="E41" s="90"/>
      <c r="F41" s="90"/>
      <c r="G41" s="90"/>
      <c r="H41" s="90"/>
      <c r="I41" s="90"/>
      <c r="J41" s="90"/>
      <c r="K41" s="90"/>
      <c r="L41" s="90"/>
      <c r="M41" s="90"/>
      <c r="N41" s="90"/>
      <c r="O41" s="90"/>
      <c r="P41" s="90"/>
      <c r="Q41" s="90"/>
      <c r="R41" s="90"/>
      <c r="S41" s="90"/>
      <c r="T41" s="90"/>
      <c r="U41" s="90"/>
      <c r="V41" s="120"/>
      <c r="W41" s="90"/>
      <c r="X41" s="90"/>
      <c r="Y41" s="90"/>
      <c r="Z41" s="90"/>
    </row>
    <row r="42">
      <c r="A42" s="90"/>
      <c r="B42" s="90"/>
      <c r="C42" s="90"/>
      <c r="D42" s="90"/>
      <c r="E42" s="90"/>
      <c r="F42" s="90"/>
      <c r="G42" s="90"/>
      <c r="H42" s="90"/>
      <c r="I42" s="90"/>
      <c r="J42" s="90"/>
      <c r="K42" s="90"/>
      <c r="L42" s="90"/>
      <c r="M42" s="90"/>
      <c r="N42" s="90"/>
      <c r="O42" s="90"/>
      <c r="P42" s="90"/>
      <c r="Q42" s="90"/>
      <c r="R42" s="90"/>
      <c r="S42" s="90"/>
      <c r="T42" s="90"/>
      <c r="U42" s="90"/>
      <c r="V42" s="120"/>
      <c r="W42" s="90"/>
      <c r="X42" s="90"/>
      <c r="Y42" s="90"/>
      <c r="Z42" s="90"/>
    </row>
    <row r="43">
      <c r="A43" s="90"/>
      <c r="B43" s="90"/>
      <c r="C43" s="90"/>
      <c r="D43" s="90"/>
      <c r="E43" s="90"/>
      <c r="F43" s="90"/>
      <c r="G43" s="90"/>
      <c r="H43" s="90"/>
      <c r="I43" s="90"/>
      <c r="J43" s="90"/>
      <c r="K43" s="90"/>
      <c r="L43" s="90"/>
      <c r="M43" s="90"/>
      <c r="N43" s="90"/>
      <c r="O43" s="90"/>
      <c r="P43" s="90"/>
      <c r="Q43" s="90"/>
      <c r="R43" s="90"/>
      <c r="S43" s="90"/>
      <c r="T43" s="90"/>
      <c r="U43" s="90"/>
      <c r="V43" s="120"/>
      <c r="W43" s="90"/>
      <c r="X43" s="90"/>
      <c r="Y43" s="90"/>
      <c r="Z43" s="90"/>
    </row>
    <row r="44">
      <c r="A44" s="90"/>
      <c r="B44" s="90"/>
      <c r="C44" s="90"/>
      <c r="D44" s="90"/>
      <c r="E44" s="90"/>
      <c r="F44" s="90"/>
      <c r="G44" s="90"/>
      <c r="H44" s="90"/>
      <c r="I44" s="90"/>
      <c r="J44" s="90"/>
      <c r="K44" s="90"/>
      <c r="L44" s="90"/>
      <c r="M44" s="90"/>
      <c r="N44" s="90"/>
      <c r="O44" s="90"/>
      <c r="P44" s="90"/>
      <c r="Q44" s="90"/>
      <c r="R44" s="90"/>
      <c r="S44" s="90"/>
      <c r="T44" s="90"/>
      <c r="U44" s="90"/>
      <c r="V44" s="120"/>
      <c r="W44" s="90"/>
      <c r="X44" s="90"/>
      <c r="Y44" s="90"/>
      <c r="Z44" s="90"/>
    </row>
    <row r="45">
      <c r="A45" s="90"/>
      <c r="B45" s="90"/>
      <c r="C45" s="90"/>
      <c r="D45" s="90"/>
      <c r="E45" s="90"/>
      <c r="F45" s="90"/>
      <c r="G45" s="90"/>
      <c r="H45" s="90"/>
      <c r="I45" s="90"/>
      <c r="J45" s="90"/>
      <c r="K45" s="90"/>
      <c r="L45" s="90"/>
      <c r="M45" s="90"/>
      <c r="N45" s="90"/>
      <c r="O45" s="90"/>
      <c r="P45" s="90"/>
      <c r="Q45" s="90"/>
      <c r="R45" s="90"/>
      <c r="S45" s="90"/>
      <c r="T45" s="90"/>
      <c r="U45" s="90"/>
      <c r="V45" s="120"/>
      <c r="W45" s="90"/>
      <c r="X45" s="90"/>
      <c r="Y45" s="90"/>
      <c r="Z45" s="90"/>
    </row>
    <row r="46">
      <c r="A46" s="90"/>
      <c r="B46" s="90"/>
      <c r="C46" s="90"/>
      <c r="D46" s="90"/>
      <c r="E46" s="90"/>
      <c r="F46" s="90"/>
      <c r="G46" s="90"/>
      <c r="H46" s="90"/>
      <c r="I46" s="90"/>
      <c r="J46" s="90"/>
      <c r="K46" s="90"/>
      <c r="L46" s="90"/>
      <c r="M46" s="90"/>
      <c r="N46" s="90"/>
      <c r="O46" s="90"/>
      <c r="P46" s="90"/>
      <c r="Q46" s="90"/>
      <c r="R46" s="90"/>
      <c r="S46" s="90"/>
      <c r="T46" s="90"/>
      <c r="U46" s="90"/>
      <c r="V46" s="120"/>
      <c r="W46" s="90"/>
      <c r="X46" s="90"/>
      <c r="Y46" s="90"/>
      <c r="Z46" s="90"/>
    </row>
    <row r="47">
      <c r="A47" s="90"/>
      <c r="B47" s="90"/>
      <c r="C47" s="90"/>
      <c r="D47" s="90"/>
      <c r="E47" s="90"/>
      <c r="F47" s="90"/>
      <c r="G47" s="90"/>
      <c r="H47" s="90"/>
      <c r="I47" s="90"/>
      <c r="J47" s="90"/>
      <c r="K47" s="90"/>
      <c r="L47" s="90"/>
      <c r="M47" s="90"/>
      <c r="N47" s="90"/>
      <c r="O47" s="90"/>
      <c r="P47" s="90"/>
      <c r="Q47" s="90"/>
      <c r="R47" s="90"/>
      <c r="S47" s="90"/>
      <c r="T47" s="90"/>
      <c r="U47" s="90"/>
      <c r="V47" s="120"/>
      <c r="W47" s="90"/>
      <c r="X47" s="90"/>
      <c r="Y47" s="90"/>
      <c r="Z47" s="90"/>
    </row>
    <row r="48">
      <c r="A48" s="90"/>
      <c r="B48" s="90"/>
      <c r="C48" s="90"/>
      <c r="D48" s="90"/>
      <c r="E48" s="90"/>
      <c r="F48" s="90"/>
      <c r="G48" s="90"/>
      <c r="H48" s="90"/>
      <c r="I48" s="90"/>
      <c r="J48" s="90"/>
      <c r="K48" s="90"/>
      <c r="L48" s="90"/>
      <c r="M48" s="90"/>
      <c r="N48" s="90"/>
      <c r="O48" s="90"/>
      <c r="P48" s="90"/>
      <c r="Q48" s="90"/>
      <c r="R48" s="90"/>
      <c r="S48" s="90"/>
      <c r="T48" s="90"/>
      <c r="U48" s="90"/>
      <c r="V48" s="120"/>
      <c r="W48" s="90"/>
      <c r="X48" s="90"/>
      <c r="Y48" s="90"/>
      <c r="Z48" s="90"/>
    </row>
    <row r="49">
      <c r="A49" s="90"/>
      <c r="B49" s="90"/>
      <c r="C49" s="90"/>
      <c r="D49" s="90"/>
      <c r="E49" s="90"/>
      <c r="F49" s="90"/>
      <c r="G49" s="90"/>
      <c r="H49" s="90"/>
      <c r="I49" s="90"/>
      <c r="J49" s="90"/>
      <c r="K49" s="90"/>
      <c r="L49" s="90"/>
      <c r="M49" s="90"/>
      <c r="N49" s="90"/>
      <c r="O49" s="90"/>
      <c r="P49" s="90"/>
      <c r="Q49" s="90"/>
      <c r="R49" s="90"/>
      <c r="S49" s="90"/>
      <c r="T49" s="90"/>
      <c r="U49" s="90"/>
      <c r="V49" s="120"/>
      <c r="W49" s="90"/>
      <c r="X49" s="90"/>
      <c r="Y49" s="90"/>
      <c r="Z49" s="90"/>
    </row>
    <row r="50">
      <c r="A50" s="90"/>
      <c r="B50" s="90"/>
      <c r="C50" s="90"/>
      <c r="D50" s="90"/>
      <c r="E50" s="90"/>
      <c r="F50" s="90"/>
      <c r="G50" s="90"/>
      <c r="H50" s="90"/>
      <c r="I50" s="90"/>
      <c r="J50" s="90"/>
      <c r="K50" s="90"/>
      <c r="L50" s="90"/>
      <c r="M50" s="90"/>
      <c r="N50" s="90"/>
      <c r="O50" s="90"/>
      <c r="P50" s="90"/>
      <c r="Q50" s="90"/>
      <c r="R50" s="90"/>
      <c r="S50" s="90"/>
      <c r="T50" s="90"/>
      <c r="U50" s="90"/>
      <c r="V50" s="120"/>
      <c r="W50" s="90"/>
      <c r="X50" s="90"/>
      <c r="Y50" s="90"/>
      <c r="Z50" s="90"/>
    </row>
    <row r="51">
      <c r="A51" s="90"/>
      <c r="B51" s="90"/>
      <c r="C51" s="90"/>
      <c r="D51" s="90"/>
      <c r="E51" s="90"/>
      <c r="F51" s="90"/>
      <c r="G51" s="90"/>
      <c r="H51" s="90"/>
      <c r="I51" s="90"/>
      <c r="J51" s="90"/>
      <c r="K51" s="90"/>
      <c r="L51" s="90"/>
      <c r="M51" s="90"/>
      <c r="N51" s="90"/>
      <c r="O51" s="90"/>
      <c r="P51" s="90"/>
      <c r="Q51" s="90"/>
      <c r="R51" s="90"/>
      <c r="S51" s="90"/>
      <c r="T51" s="90"/>
      <c r="U51" s="90"/>
      <c r="V51" s="120"/>
      <c r="W51" s="90"/>
      <c r="X51" s="90"/>
      <c r="Y51" s="90"/>
      <c r="Z51" s="90"/>
    </row>
    <row r="52">
      <c r="A52" s="90"/>
      <c r="B52" s="90"/>
      <c r="C52" s="90"/>
      <c r="D52" s="90"/>
      <c r="E52" s="90"/>
      <c r="F52" s="90"/>
      <c r="G52" s="90"/>
      <c r="H52" s="90"/>
      <c r="I52" s="90"/>
      <c r="J52" s="90"/>
      <c r="K52" s="90"/>
      <c r="L52" s="90"/>
      <c r="M52" s="90"/>
      <c r="N52" s="90"/>
      <c r="O52" s="90"/>
      <c r="P52" s="90"/>
      <c r="Q52" s="90"/>
      <c r="R52" s="90"/>
      <c r="S52" s="90"/>
      <c r="T52" s="90"/>
      <c r="U52" s="90"/>
      <c r="V52" s="120"/>
      <c r="W52" s="90"/>
      <c r="X52" s="90"/>
      <c r="Y52" s="90"/>
      <c r="Z52" s="90"/>
    </row>
    <row r="53">
      <c r="A53" s="90"/>
      <c r="B53" s="90"/>
      <c r="C53" s="90"/>
      <c r="D53" s="90"/>
      <c r="E53" s="90"/>
      <c r="F53" s="90"/>
      <c r="G53" s="90"/>
      <c r="H53" s="90"/>
      <c r="I53" s="90"/>
      <c r="J53" s="90"/>
      <c r="K53" s="90"/>
      <c r="L53" s="90"/>
      <c r="M53" s="90"/>
      <c r="N53" s="90"/>
      <c r="O53" s="90"/>
      <c r="P53" s="90"/>
      <c r="Q53" s="90"/>
      <c r="R53" s="90"/>
      <c r="S53" s="90"/>
      <c r="T53" s="90"/>
      <c r="U53" s="90"/>
      <c r="V53" s="120"/>
      <c r="W53" s="90"/>
      <c r="X53" s="90"/>
      <c r="Y53" s="90"/>
      <c r="Z53" s="90"/>
    </row>
    <row r="54">
      <c r="A54" s="90"/>
      <c r="B54" s="90"/>
      <c r="C54" s="90"/>
      <c r="D54" s="90"/>
      <c r="E54" s="90"/>
      <c r="F54" s="90"/>
      <c r="G54" s="90"/>
      <c r="H54" s="90"/>
      <c r="I54" s="90"/>
      <c r="J54" s="90"/>
      <c r="K54" s="90"/>
      <c r="L54" s="90"/>
      <c r="M54" s="90"/>
      <c r="N54" s="90"/>
      <c r="O54" s="90"/>
      <c r="P54" s="90"/>
      <c r="Q54" s="90"/>
      <c r="R54" s="90"/>
      <c r="S54" s="90"/>
      <c r="T54" s="90"/>
      <c r="U54" s="90"/>
      <c r="V54" s="120"/>
      <c r="W54" s="90"/>
      <c r="X54" s="90"/>
      <c r="Y54" s="90"/>
      <c r="Z54" s="90"/>
    </row>
    <row r="55">
      <c r="A55" s="90"/>
      <c r="B55" s="90"/>
      <c r="C55" s="90"/>
      <c r="D55" s="90"/>
      <c r="E55" s="90"/>
      <c r="F55" s="90"/>
      <c r="G55" s="90"/>
      <c r="H55" s="90"/>
      <c r="I55" s="90"/>
      <c r="J55" s="90"/>
      <c r="K55" s="90"/>
      <c r="L55" s="90"/>
      <c r="M55" s="90"/>
      <c r="N55" s="90"/>
      <c r="O55" s="90"/>
      <c r="P55" s="90"/>
      <c r="Q55" s="90"/>
      <c r="R55" s="90"/>
      <c r="S55" s="90"/>
      <c r="T55" s="90"/>
      <c r="U55" s="90"/>
      <c r="V55" s="120"/>
      <c r="W55" s="90"/>
      <c r="X55" s="90"/>
      <c r="Y55" s="90"/>
      <c r="Z55" s="90"/>
    </row>
    <row r="56">
      <c r="A56" s="90"/>
      <c r="B56" s="90"/>
      <c r="C56" s="90"/>
      <c r="D56" s="90"/>
      <c r="E56" s="90"/>
      <c r="F56" s="90"/>
      <c r="G56" s="90"/>
      <c r="H56" s="90"/>
      <c r="I56" s="90"/>
      <c r="J56" s="90"/>
      <c r="K56" s="90"/>
      <c r="L56" s="90"/>
      <c r="M56" s="90"/>
      <c r="N56" s="90"/>
      <c r="O56" s="90"/>
      <c r="P56" s="90"/>
      <c r="Q56" s="90"/>
      <c r="R56" s="90"/>
      <c r="S56" s="90"/>
      <c r="T56" s="90"/>
      <c r="U56" s="90"/>
      <c r="V56" s="120"/>
      <c r="W56" s="90"/>
      <c r="X56" s="90"/>
      <c r="Y56" s="90"/>
      <c r="Z56" s="90"/>
    </row>
    <row r="57">
      <c r="A57" s="90"/>
      <c r="B57" s="90"/>
      <c r="C57" s="90"/>
      <c r="D57" s="90"/>
      <c r="E57" s="90"/>
      <c r="F57" s="90"/>
      <c r="G57" s="90"/>
      <c r="H57" s="90"/>
      <c r="I57" s="90"/>
      <c r="J57" s="90"/>
      <c r="K57" s="90"/>
      <c r="L57" s="90"/>
      <c r="M57" s="90"/>
      <c r="N57" s="90"/>
      <c r="O57" s="90"/>
      <c r="P57" s="90"/>
      <c r="Q57" s="90"/>
      <c r="R57" s="90"/>
      <c r="S57" s="90"/>
      <c r="T57" s="90"/>
      <c r="U57" s="90"/>
      <c r="V57" s="120"/>
      <c r="W57" s="90"/>
      <c r="X57" s="90"/>
      <c r="Y57" s="90"/>
      <c r="Z57" s="90"/>
    </row>
    <row r="58">
      <c r="A58" s="90"/>
      <c r="B58" s="90"/>
      <c r="C58" s="90"/>
      <c r="D58" s="90"/>
      <c r="E58" s="90"/>
      <c r="F58" s="90"/>
      <c r="G58" s="90"/>
      <c r="H58" s="90"/>
      <c r="I58" s="90"/>
      <c r="J58" s="90"/>
      <c r="K58" s="90"/>
      <c r="L58" s="90"/>
      <c r="M58" s="90"/>
      <c r="N58" s="90"/>
      <c r="O58" s="90"/>
      <c r="P58" s="90"/>
      <c r="Q58" s="90"/>
      <c r="R58" s="90"/>
      <c r="S58" s="90"/>
      <c r="T58" s="90"/>
      <c r="U58" s="90"/>
      <c r="V58" s="120"/>
      <c r="W58" s="90"/>
      <c r="X58" s="90"/>
      <c r="Y58" s="90"/>
      <c r="Z58" s="90"/>
    </row>
    <row r="59">
      <c r="A59" s="90"/>
      <c r="B59" s="90"/>
      <c r="C59" s="90"/>
      <c r="D59" s="90"/>
      <c r="E59" s="90"/>
      <c r="F59" s="90"/>
      <c r="G59" s="90"/>
      <c r="H59" s="90"/>
      <c r="I59" s="90"/>
      <c r="J59" s="90"/>
      <c r="K59" s="90"/>
      <c r="L59" s="90"/>
      <c r="M59" s="90"/>
      <c r="N59" s="90"/>
      <c r="O59" s="90"/>
      <c r="P59" s="90"/>
      <c r="Q59" s="90"/>
      <c r="R59" s="90"/>
      <c r="S59" s="90"/>
      <c r="T59" s="90"/>
      <c r="U59" s="90"/>
      <c r="V59" s="120"/>
      <c r="W59" s="90"/>
      <c r="X59" s="90"/>
      <c r="Y59" s="90"/>
      <c r="Z59" s="90"/>
    </row>
    <row r="60">
      <c r="A60" s="90"/>
      <c r="B60" s="90"/>
      <c r="C60" s="90"/>
      <c r="D60" s="90"/>
      <c r="E60" s="90"/>
      <c r="F60" s="90"/>
      <c r="G60" s="90"/>
      <c r="H60" s="90"/>
      <c r="I60" s="90"/>
      <c r="J60" s="90"/>
      <c r="K60" s="90"/>
      <c r="L60" s="90"/>
      <c r="M60" s="90"/>
      <c r="N60" s="90"/>
      <c r="O60" s="90"/>
      <c r="P60" s="90"/>
      <c r="Q60" s="90"/>
      <c r="R60" s="90"/>
      <c r="S60" s="90"/>
      <c r="T60" s="90"/>
      <c r="U60" s="90"/>
      <c r="V60" s="120"/>
      <c r="W60" s="90"/>
      <c r="X60" s="90"/>
      <c r="Y60" s="90"/>
      <c r="Z60" s="90"/>
    </row>
    <row r="61">
      <c r="A61" s="90"/>
      <c r="B61" s="90"/>
      <c r="C61" s="90"/>
      <c r="D61" s="90"/>
      <c r="E61" s="90"/>
      <c r="F61" s="90"/>
      <c r="G61" s="90"/>
      <c r="H61" s="90"/>
      <c r="I61" s="90"/>
      <c r="J61" s="90"/>
      <c r="K61" s="90"/>
      <c r="L61" s="90"/>
      <c r="M61" s="90"/>
      <c r="N61" s="90"/>
      <c r="O61" s="90"/>
      <c r="P61" s="90"/>
      <c r="Q61" s="90"/>
      <c r="R61" s="90"/>
      <c r="S61" s="90"/>
      <c r="T61" s="90"/>
      <c r="U61" s="90"/>
      <c r="V61" s="120"/>
      <c r="W61" s="90"/>
      <c r="X61" s="90"/>
      <c r="Y61" s="90"/>
      <c r="Z61" s="90"/>
    </row>
    <row r="62">
      <c r="A62" s="90"/>
      <c r="B62" s="90"/>
      <c r="C62" s="90"/>
      <c r="D62" s="90"/>
      <c r="E62" s="90"/>
      <c r="F62" s="90"/>
      <c r="G62" s="90"/>
      <c r="H62" s="90"/>
      <c r="I62" s="90"/>
      <c r="J62" s="90"/>
      <c r="K62" s="90"/>
      <c r="L62" s="90"/>
      <c r="M62" s="90"/>
      <c r="N62" s="90"/>
      <c r="O62" s="90"/>
      <c r="P62" s="90"/>
      <c r="Q62" s="90"/>
      <c r="R62" s="90"/>
      <c r="S62" s="90"/>
      <c r="T62" s="90"/>
      <c r="U62" s="90"/>
      <c r="V62" s="120"/>
      <c r="W62" s="90"/>
      <c r="X62" s="90"/>
      <c r="Y62" s="90"/>
      <c r="Z62" s="90"/>
    </row>
    <row r="63">
      <c r="A63" s="90"/>
      <c r="B63" s="90"/>
      <c r="C63" s="90"/>
      <c r="D63" s="90"/>
      <c r="E63" s="90"/>
      <c r="F63" s="90"/>
      <c r="G63" s="90"/>
      <c r="H63" s="90"/>
      <c r="I63" s="90"/>
      <c r="J63" s="90"/>
      <c r="K63" s="90"/>
      <c r="L63" s="90"/>
      <c r="M63" s="90"/>
      <c r="N63" s="90"/>
      <c r="O63" s="90"/>
      <c r="P63" s="90"/>
      <c r="Q63" s="90"/>
      <c r="R63" s="90"/>
      <c r="S63" s="90"/>
      <c r="T63" s="90"/>
      <c r="U63" s="90"/>
      <c r="V63" s="120"/>
      <c r="W63" s="90"/>
      <c r="X63" s="90"/>
      <c r="Y63" s="90"/>
      <c r="Z63" s="90"/>
    </row>
    <row r="64">
      <c r="A64" s="90"/>
      <c r="B64" s="90"/>
      <c r="C64" s="90"/>
      <c r="D64" s="90"/>
      <c r="E64" s="90"/>
      <c r="F64" s="90"/>
      <c r="G64" s="90"/>
      <c r="H64" s="90"/>
      <c r="I64" s="90"/>
      <c r="J64" s="90"/>
      <c r="K64" s="90"/>
      <c r="L64" s="90"/>
      <c r="M64" s="90"/>
      <c r="N64" s="90"/>
      <c r="O64" s="90"/>
      <c r="P64" s="90"/>
      <c r="Q64" s="90"/>
      <c r="R64" s="90"/>
      <c r="S64" s="90"/>
      <c r="T64" s="90"/>
      <c r="U64" s="90"/>
      <c r="V64" s="120"/>
      <c r="W64" s="90"/>
      <c r="X64" s="90"/>
      <c r="Y64" s="90"/>
      <c r="Z64" s="90"/>
    </row>
    <row r="65">
      <c r="A65" s="90"/>
      <c r="B65" s="90"/>
      <c r="C65" s="90"/>
      <c r="D65" s="90"/>
      <c r="E65" s="90"/>
      <c r="F65" s="90"/>
      <c r="G65" s="90"/>
      <c r="H65" s="90"/>
      <c r="I65" s="90"/>
      <c r="J65" s="90"/>
      <c r="K65" s="90"/>
      <c r="L65" s="90"/>
      <c r="M65" s="90"/>
      <c r="N65" s="90"/>
      <c r="O65" s="90"/>
      <c r="P65" s="90"/>
      <c r="Q65" s="90"/>
      <c r="R65" s="90"/>
      <c r="S65" s="90"/>
      <c r="T65" s="90"/>
      <c r="U65" s="90"/>
      <c r="V65" s="120"/>
      <c r="W65" s="90"/>
      <c r="X65" s="90"/>
      <c r="Y65" s="90"/>
      <c r="Z65" s="90"/>
    </row>
    <row r="66">
      <c r="A66" s="90"/>
      <c r="B66" s="90"/>
      <c r="C66" s="90"/>
      <c r="D66" s="90"/>
      <c r="E66" s="90"/>
      <c r="F66" s="90"/>
      <c r="G66" s="90"/>
      <c r="H66" s="90"/>
      <c r="I66" s="90"/>
      <c r="J66" s="90"/>
      <c r="K66" s="90"/>
      <c r="L66" s="90"/>
      <c r="M66" s="90"/>
      <c r="N66" s="90"/>
      <c r="O66" s="90"/>
      <c r="P66" s="90"/>
      <c r="Q66" s="90"/>
      <c r="R66" s="90"/>
      <c r="S66" s="90"/>
      <c r="T66" s="90"/>
      <c r="U66" s="90"/>
      <c r="V66" s="120"/>
      <c r="W66" s="90"/>
      <c r="X66" s="90"/>
      <c r="Y66" s="90"/>
      <c r="Z66" s="90"/>
    </row>
    <row r="67">
      <c r="A67" s="90"/>
      <c r="B67" s="90"/>
      <c r="C67" s="90"/>
      <c r="D67" s="90"/>
      <c r="E67" s="90"/>
      <c r="F67" s="90"/>
      <c r="G67" s="90"/>
      <c r="H67" s="90"/>
      <c r="I67" s="90"/>
      <c r="J67" s="90"/>
      <c r="K67" s="90"/>
      <c r="L67" s="90"/>
      <c r="M67" s="90"/>
      <c r="N67" s="90"/>
      <c r="O67" s="90"/>
      <c r="P67" s="90"/>
      <c r="Q67" s="90"/>
      <c r="R67" s="90"/>
      <c r="S67" s="90"/>
      <c r="T67" s="90"/>
      <c r="U67" s="90"/>
      <c r="V67" s="120"/>
      <c r="W67" s="90"/>
      <c r="X67" s="90"/>
      <c r="Y67" s="90"/>
      <c r="Z67" s="90"/>
    </row>
    <row r="68">
      <c r="A68" s="90"/>
      <c r="B68" s="90"/>
      <c r="C68" s="90"/>
      <c r="D68" s="90"/>
      <c r="E68" s="90"/>
      <c r="F68" s="90"/>
      <c r="G68" s="90"/>
      <c r="H68" s="90"/>
      <c r="I68" s="90"/>
      <c r="J68" s="90"/>
      <c r="K68" s="90"/>
      <c r="L68" s="90"/>
      <c r="M68" s="90"/>
      <c r="N68" s="90"/>
      <c r="O68" s="90"/>
      <c r="P68" s="90"/>
      <c r="Q68" s="90"/>
      <c r="R68" s="90"/>
      <c r="S68" s="90"/>
      <c r="T68" s="90"/>
      <c r="U68" s="90"/>
      <c r="V68" s="120"/>
      <c r="W68" s="90"/>
      <c r="X68" s="90"/>
      <c r="Y68" s="90"/>
      <c r="Z68" s="90"/>
    </row>
    <row r="69">
      <c r="A69" s="90"/>
      <c r="B69" s="90"/>
      <c r="C69" s="90"/>
      <c r="D69" s="90"/>
      <c r="E69" s="90"/>
      <c r="F69" s="90"/>
      <c r="G69" s="90"/>
      <c r="H69" s="90"/>
      <c r="I69" s="90"/>
      <c r="J69" s="90"/>
      <c r="K69" s="90"/>
      <c r="L69" s="90"/>
      <c r="M69" s="90"/>
      <c r="N69" s="90"/>
      <c r="O69" s="90"/>
      <c r="P69" s="90"/>
      <c r="Q69" s="90"/>
      <c r="R69" s="90"/>
      <c r="S69" s="90"/>
      <c r="T69" s="90"/>
      <c r="U69" s="90"/>
      <c r="V69" s="120"/>
      <c r="W69" s="90"/>
      <c r="X69" s="90"/>
      <c r="Y69" s="90"/>
      <c r="Z69" s="90"/>
    </row>
    <row r="70">
      <c r="A70" s="90"/>
      <c r="B70" s="90"/>
      <c r="C70" s="90"/>
      <c r="D70" s="90"/>
      <c r="E70" s="90"/>
      <c r="F70" s="90"/>
      <c r="G70" s="90"/>
      <c r="H70" s="90"/>
      <c r="I70" s="90"/>
      <c r="J70" s="90"/>
      <c r="K70" s="90"/>
      <c r="L70" s="90"/>
      <c r="M70" s="90"/>
      <c r="N70" s="90"/>
      <c r="O70" s="90"/>
      <c r="P70" s="90"/>
      <c r="Q70" s="90"/>
      <c r="R70" s="90"/>
      <c r="S70" s="90"/>
      <c r="T70" s="90"/>
      <c r="U70" s="90"/>
      <c r="V70" s="120"/>
      <c r="W70" s="90"/>
      <c r="X70" s="90"/>
      <c r="Y70" s="90"/>
      <c r="Z70" s="90"/>
    </row>
    <row r="71">
      <c r="A71" s="90"/>
      <c r="B71" s="90"/>
      <c r="C71" s="90"/>
      <c r="D71" s="90"/>
      <c r="E71" s="90"/>
      <c r="F71" s="90"/>
      <c r="G71" s="90"/>
      <c r="H71" s="90"/>
      <c r="I71" s="90"/>
      <c r="J71" s="90"/>
      <c r="K71" s="90"/>
      <c r="L71" s="90"/>
      <c r="M71" s="90"/>
      <c r="N71" s="90"/>
      <c r="O71" s="90"/>
      <c r="P71" s="90"/>
      <c r="Q71" s="90"/>
      <c r="R71" s="90"/>
      <c r="S71" s="90"/>
      <c r="T71" s="90"/>
      <c r="U71" s="90"/>
      <c r="V71" s="120"/>
      <c r="W71" s="90"/>
      <c r="X71" s="90"/>
      <c r="Y71" s="90"/>
      <c r="Z71" s="90"/>
    </row>
    <row r="72">
      <c r="A72" s="90"/>
      <c r="B72" s="90"/>
      <c r="C72" s="90"/>
      <c r="D72" s="90"/>
      <c r="E72" s="90"/>
      <c r="F72" s="90"/>
      <c r="G72" s="90"/>
      <c r="H72" s="90"/>
      <c r="I72" s="90"/>
      <c r="J72" s="90"/>
      <c r="K72" s="90"/>
      <c r="L72" s="90"/>
      <c r="M72" s="90"/>
      <c r="N72" s="90"/>
      <c r="O72" s="90"/>
      <c r="P72" s="90"/>
      <c r="Q72" s="90"/>
      <c r="R72" s="90"/>
      <c r="S72" s="90"/>
      <c r="T72" s="90"/>
      <c r="U72" s="90"/>
      <c r="V72" s="120"/>
      <c r="W72" s="90"/>
      <c r="X72" s="90"/>
      <c r="Y72" s="90"/>
      <c r="Z72" s="90"/>
    </row>
    <row r="73">
      <c r="A73" s="90"/>
      <c r="B73" s="90"/>
      <c r="C73" s="90"/>
      <c r="D73" s="90"/>
      <c r="E73" s="90"/>
      <c r="F73" s="90"/>
      <c r="G73" s="90"/>
      <c r="H73" s="90"/>
      <c r="I73" s="90"/>
      <c r="J73" s="90"/>
      <c r="K73" s="90"/>
      <c r="L73" s="90"/>
      <c r="M73" s="90"/>
      <c r="N73" s="90"/>
      <c r="O73" s="90"/>
      <c r="P73" s="90"/>
      <c r="Q73" s="90"/>
      <c r="R73" s="90"/>
      <c r="S73" s="90"/>
      <c r="T73" s="90"/>
      <c r="U73" s="90"/>
      <c r="V73" s="120"/>
      <c r="W73" s="90"/>
      <c r="X73" s="90"/>
      <c r="Y73" s="90"/>
      <c r="Z73" s="90"/>
    </row>
    <row r="74">
      <c r="A74" s="90"/>
      <c r="B74" s="90"/>
      <c r="C74" s="90"/>
      <c r="D74" s="90"/>
      <c r="E74" s="90"/>
      <c r="F74" s="90"/>
      <c r="G74" s="90"/>
      <c r="H74" s="90"/>
      <c r="I74" s="90"/>
      <c r="J74" s="90"/>
      <c r="K74" s="90"/>
      <c r="L74" s="90"/>
      <c r="M74" s="90"/>
      <c r="N74" s="90"/>
      <c r="O74" s="90"/>
      <c r="P74" s="90"/>
      <c r="Q74" s="90"/>
      <c r="R74" s="90"/>
      <c r="S74" s="90"/>
      <c r="T74" s="90"/>
      <c r="U74" s="90"/>
      <c r="V74" s="120"/>
      <c r="W74" s="90"/>
      <c r="X74" s="90"/>
      <c r="Y74" s="90"/>
      <c r="Z74" s="90"/>
    </row>
    <row r="75">
      <c r="A75" s="90"/>
      <c r="B75" s="90"/>
      <c r="C75" s="90"/>
      <c r="D75" s="90"/>
      <c r="E75" s="90"/>
      <c r="F75" s="90"/>
      <c r="G75" s="90"/>
      <c r="H75" s="90"/>
      <c r="I75" s="90"/>
      <c r="J75" s="90"/>
      <c r="K75" s="90"/>
      <c r="L75" s="90"/>
      <c r="M75" s="90"/>
      <c r="N75" s="90"/>
      <c r="O75" s="90"/>
      <c r="P75" s="90"/>
      <c r="Q75" s="90"/>
      <c r="R75" s="90"/>
      <c r="S75" s="90"/>
      <c r="T75" s="90"/>
      <c r="U75" s="90"/>
      <c r="V75" s="120"/>
      <c r="W75" s="90"/>
      <c r="X75" s="90"/>
      <c r="Y75" s="90"/>
      <c r="Z75" s="90"/>
    </row>
    <row r="76">
      <c r="A76" s="90"/>
      <c r="B76" s="90"/>
      <c r="C76" s="90"/>
      <c r="D76" s="90"/>
      <c r="E76" s="90"/>
      <c r="F76" s="90"/>
      <c r="G76" s="90"/>
      <c r="H76" s="90"/>
      <c r="I76" s="90"/>
      <c r="J76" s="90"/>
      <c r="K76" s="90"/>
      <c r="L76" s="90"/>
      <c r="M76" s="90"/>
      <c r="N76" s="90"/>
      <c r="O76" s="90"/>
      <c r="P76" s="90"/>
      <c r="Q76" s="90"/>
      <c r="R76" s="90"/>
      <c r="S76" s="90"/>
      <c r="T76" s="90"/>
      <c r="U76" s="90"/>
      <c r="V76" s="120"/>
      <c r="W76" s="90"/>
      <c r="X76" s="90"/>
      <c r="Y76" s="90"/>
      <c r="Z76" s="90"/>
    </row>
    <row r="77">
      <c r="A77" s="90"/>
      <c r="B77" s="90"/>
      <c r="C77" s="90"/>
      <c r="D77" s="90"/>
      <c r="E77" s="90"/>
      <c r="F77" s="90"/>
      <c r="G77" s="90"/>
      <c r="H77" s="90"/>
      <c r="I77" s="90"/>
      <c r="J77" s="90"/>
      <c r="K77" s="90"/>
      <c r="L77" s="90"/>
      <c r="M77" s="90"/>
      <c r="N77" s="90"/>
      <c r="O77" s="90"/>
      <c r="P77" s="90"/>
      <c r="Q77" s="90"/>
      <c r="R77" s="90"/>
      <c r="S77" s="90"/>
      <c r="T77" s="90"/>
      <c r="U77" s="90"/>
      <c r="V77" s="120"/>
      <c r="W77" s="90"/>
      <c r="X77" s="90"/>
      <c r="Y77" s="90"/>
      <c r="Z77" s="90"/>
    </row>
    <row r="78">
      <c r="A78" s="90"/>
      <c r="B78" s="90"/>
      <c r="C78" s="90"/>
      <c r="D78" s="90"/>
      <c r="E78" s="90"/>
      <c r="F78" s="90"/>
      <c r="G78" s="90"/>
      <c r="H78" s="90"/>
      <c r="I78" s="90"/>
      <c r="J78" s="90"/>
      <c r="K78" s="90"/>
      <c r="L78" s="90"/>
      <c r="M78" s="90"/>
      <c r="N78" s="90"/>
      <c r="O78" s="90"/>
      <c r="P78" s="90"/>
      <c r="Q78" s="90"/>
      <c r="R78" s="90"/>
      <c r="S78" s="90"/>
      <c r="T78" s="90"/>
      <c r="U78" s="90"/>
      <c r="V78" s="120"/>
      <c r="W78" s="90"/>
      <c r="X78" s="90"/>
      <c r="Y78" s="90"/>
      <c r="Z78" s="90"/>
    </row>
    <row r="79">
      <c r="A79" s="90"/>
      <c r="B79" s="90"/>
      <c r="C79" s="90"/>
      <c r="D79" s="90"/>
      <c r="E79" s="90"/>
      <c r="F79" s="90"/>
      <c r="G79" s="90"/>
      <c r="H79" s="90"/>
      <c r="I79" s="90"/>
      <c r="J79" s="90"/>
      <c r="K79" s="90"/>
      <c r="L79" s="90"/>
      <c r="M79" s="90"/>
      <c r="N79" s="90"/>
      <c r="O79" s="90"/>
      <c r="P79" s="90"/>
      <c r="Q79" s="90"/>
      <c r="R79" s="90"/>
      <c r="S79" s="90"/>
      <c r="T79" s="90"/>
      <c r="U79" s="90"/>
      <c r="V79" s="120"/>
      <c r="W79" s="90"/>
      <c r="X79" s="90"/>
      <c r="Y79" s="90"/>
      <c r="Z79" s="90"/>
    </row>
    <row r="80">
      <c r="A80" s="90"/>
      <c r="B80" s="90"/>
      <c r="C80" s="90"/>
      <c r="D80" s="90"/>
      <c r="E80" s="90"/>
      <c r="F80" s="90"/>
      <c r="G80" s="90"/>
      <c r="H80" s="90"/>
      <c r="I80" s="90"/>
      <c r="J80" s="90"/>
      <c r="K80" s="90"/>
      <c r="L80" s="90"/>
      <c r="M80" s="90"/>
      <c r="N80" s="90"/>
      <c r="O80" s="90"/>
      <c r="P80" s="90"/>
      <c r="Q80" s="90"/>
      <c r="R80" s="90"/>
      <c r="S80" s="90"/>
      <c r="T80" s="90"/>
      <c r="U80" s="90"/>
      <c r="V80" s="120"/>
      <c r="W80" s="90"/>
      <c r="X80" s="90"/>
      <c r="Y80" s="90"/>
      <c r="Z80" s="90"/>
    </row>
    <row r="81">
      <c r="A81" s="90"/>
      <c r="B81" s="90"/>
      <c r="C81" s="90"/>
      <c r="D81" s="90"/>
      <c r="E81" s="90"/>
      <c r="F81" s="90"/>
      <c r="G81" s="90"/>
      <c r="H81" s="90"/>
      <c r="I81" s="90"/>
      <c r="J81" s="90"/>
      <c r="K81" s="90"/>
      <c r="L81" s="90"/>
      <c r="M81" s="90"/>
      <c r="N81" s="90"/>
      <c r="O81" s="90"/>
      <c r="P81" s="90"/>
      <c r="Q81" s="90"/>
      <c r="R81" s="90"/>
      <c r="S81" s="90"/>
      <c r="T81" s="90"/>
      <c r="U81" s="90"/>
      <c r="V81" s="120"/>
      <c r="W81" s="90"/>
      <c r="X81" s="90"/>
      <c r="Y81" s="90"/>
      <c r="Z81" s="90"/>
    </row>
    <row r="82">
      <c r="A82" s="90"/>
      <c r="B82" s="90"/>
      <c r="C82" s="90"/>
      <c r="D82" s="90"/>
      <c r="E82" s="90"/>
      <c r="F82" s="90"/>
      <c r="G82" s="90"/>
      <c r="H82" s="90"/>
      <c r="I82" s="90"/>
      <c r="J82" s="90"/>
      <c r="K82" s="90"/>
      <c r="L82" s="90"/>
      <c r="M82" s="90"/>
      <c r="N82" s="90"/>
      <c r="O82" s="90"/>
      <c r="P82" s="90"/>
      <c r="Q82" s="90"/>
      <c r="R82" s="90"/>
      <c r="S82" s="90"/>
      <c r="T82" s="90"/>
      <c r="U82" s="90"/>
      <c r="V82" s="120"/>
      <c r="W82" s="90"/>
      <c r="X82" s="90"/>
      <c r="Y82" s="90"/>
      <c r="Z82" s="90"/>
    </row>
    <row r="83">
      <c r="A83" s="90"/>
      <c r="B83" s="90"/>
      <c r="C83" s="90"/>
      <c r="D83" s="90"/>
      <c r="E83" s="90"/>
      <c r="F83" s="90"/>
      <c r="G83" s="90"/>
      <c r="H83" s="90"/>
      <c r="I83" s="90"/>
      <c r="J83" s="90"/>
      <c r="K83" s="90"/>
      <c r="L83" s="90"/>
      <c r="M83" s="90"/>
      <c r="N83" s="90"/>
      <c r="O83" s="90"/>
      <c r="P83" s="90"/>
      <c r="Q83" s="90"/>
      <c r="R83" s="90"/>
      <c r="S83" s="90"/>
      <c r="T83" s="90"/>
      <c r="U83" s="90"/>
      <c r="V83" s="120"/>
      <c r="W83" s="90"/>
      <c r="X83" s="90"/>
      <c r="Y83" s="90"/>
      <c r="Z83" s="90"/>
    </row>
    <row r="84">
      <c r="A84" s="90"/>
      <c r="B84" s="90"/>
      <c r="C84" s="90"/>
      <c r="D84" s="90"/>
      <c r="E84" s="90"/>
      <c r="F84" s="90"/>
      <c r="G84" s="90"/>
      <c r="H84" s="90"/>
      <c r="I84" s="90"/>
      <c r="J84" s="90"/>
      <c r="K84" s="90"/>
      <c r="L84" s="90"/>
      <c r="M84" s="90"/>
      <c r="N84" s="90"/>
      <c r="O84" s="90"/>
      <c r="P84" s="90"/>
      <c r="Q84" s="90"/>
      <c r="R84" s="90"/>
      <c r="S84" s="90"/>
      <c r="T84" s="90"/>
      <c r="U84" s="90"/>
      <c r="V84" s="120"/>
      <c r="W84" s="90"/>
      <c r="X84" s="90"/>
      <c r="Y84" s="90"/>
      <c r="Z84" s="90"/>
    </row>
    <row r="85">
      <c r="A85" s="90"/>
      <c r="B85" s="90"/>
      <c r="C85" s="90"/>
      <c r="D85" s="90"/>
      <c r="E85" s="90"/>
      <c r="F85" s="90"/>
      <c r="G85" s="90"/>
      <c r="H85" s="90"/>
      <c r="I85" s="90"/>
      <c r="J85" s="90"/>
      <c r="K85" s="90"/>
      <c r="L85" s="90"/>
      <c r="M85" s="90"/>
      <c r="N85" s="90"/>
      <c r="O85" s="90"/>
      <c r="P85" s="90"/>
      <c r="Q85" s="90"/>
      <c r="R85" s="90"/>
      <c r="S85" s="90"/>
      <c r="T85" s="90"/>
      <c r="U85" s="90"/>
      <c r="V85" s="120"/>
      <c r="W85" s="90"/>
      <c r="X85" s="90"/>
      <c r="Y85" s="90"/>
      <c r="Z85" s="90"/>
    </row>
    <row r="86">
      <c r="A86" s="90"/>
      <c r="B86" s="90"/>
      <c r="C86" s="90"/>
      <c r="D86" s="90"/>
      <c r="E86" s="90"/>
      <c r="F86" s="90"/>
      <c r="G86" s="90"/>
      <c r="H86" s="90"/>
      <c r="I86" s="90"/>
      <c r="J86" s="90"/>
      <c r="K86" s="90"/>
      <c r="L86" s="90"/>
      <c r="M86" s="90"/>
      <c r="N86" s="90"/>
      <c r="O86" s="90"/>
      <c r="P86" s="90"/>
      <c r="Q86" s="90"/>
      <c r="R86" s="90"/>
      <c r="S86" s="90"/>
      <c r="T86" s="90"/>
      <c r="U86" s="90"/>
      <c r="V86" s="120"/>
      <c r="W86" s="90"/>
      <c r="X86" s="90"/>
      <c r="Y86" s="90"/>
      <c r="Z86" s="90"/>
    </row>
    <row r="87">
      <c r="A87" s="90"/>
      <c r="B87" s="90"/>
      <c r="C87" s="90"/>
      <c r="D87" s="90"/>
      <c r="E87" s="90"/>
      <c r="F87" s="90"/>
      <c r="G87" s="90"/>
      <c r="H87" s="90"/>
      <c r="I87" s="90"/>
      <c r="J87" s="90"/>
      <c r="K87" s="90"/>
      <c r="L87" s="90"/>
      <c r="M87" s="90"/>
      <c r="N87" s="90"/>
      <c r="O87" s="90"/>
      <c r="P87" s="90"/>
      <c r="Q87" s="90"/>
      <c r="R87" s="90"/>
      <c r="S87" s="90"/>
      <c r="T87" s="90"/>
      <c r="U87" s="90"/>
      <c r="V87" s="120"/>
      <c r="W87" s="90"/>
      <c r="X87" s="90"/>
      <c r="Y87" s="90"/>
      <c r="Z87" s="90"/>
    </row>
    <row r="88">
      <c r="A88" s="90"/>
      <c r="B88" s="90"/>
      <c r="C88" s="90"/>
      <c r="D88" s="90"/>
      <c r="E88" s="90"/>
      <c r="F88" s="90"/>
      <c r="G88" s="90"/>
      <c r="H88" s="90"/>
      <c r="I88" s="90"/>
      <c r="J88" s="90"/>
      <c r="K88" s="90"/>
      <c r="L88" s="90"/>
      <c r="M88" s="90"/>
      <c r="N88" s="90"/>
      <c r="O88" s="90"/>
      <c r="P88" s="90"/>
      <c r="Q88" s="90"/>
      <c r="R88" s="90"/>
      <c r="S88" s="90"/>
      <c r="T88" s="90"/>
      <c r="U88" s="90"/>
      <c r="V88" s="120"/>
      <c r="W88" s="90"/>
      <c r="X88" s="90"/>
      <c r="Y88" s="90"/>
      <c r="Z88" s="90"/>
    </row>
    <row r="89">
      <c r="A89" s="90"/>
      <c r="B89" s="90"/>
      <c r="C89" s="90"/>
      <c r="D89" s="90"/>
      <c r="E89" s="90"/>
      <c r="F89" s="90"/>
      <c r="G89" s="90"/>
      <c r="H89" s="90"/>
      <c r="I89" s="90"/>
      <c r="J89" s="90"/>
      <c r="K89" s="90"/>
      <c r="L89" s="90"/>
      <c r="M89" s="90"/>
      <c r="N89" s="90"/>
      <c r="O89" s="90"/>
      <c r="P89" s="90"/>
      <c r="Q89" s="90"/>
      <c r="R89" s="90"/>
      <c r="S89" s="90"/>
      <c r="T89" s="90"/>
      <c r="U89" s="90"/>
      <c r="V89" s="120"/>
      <c r="W89" s="90"/>
      <c r="X89" s="90"/>
      <c r="Y89" s="90"/>
      <c r="Z89" s="90"/>
    </row>
    <row r="90">
      <c r="A90" s="90"/>
      <c r="B90" s="90"/>
      <c r="C90" s="90"/>
      <c r="D90" s="90"/>
      <c r="E90" s="90"/>
      <c r="F90" s="90"/>
      <c r="G90" s="90"/>
      <c r="H90" s="90"/>
      <c r="I90" s="90"/>
      <c r="J90" s="90"/>
      <c r="K90" s="90"/>
      <c r="L90" s="90"/>
      <c r="M90" s="90"/>
      <c r="N90" s="90"/>
      <c r="O90" s="90"/>
      <c r="P90" s="90"/>
      <c r="Q90" s="90"/>
      <c r="R90" s="90"/>
      <c r="S90" s="90"/>
      <c r="T90" s="90"/>
      <c r="U90" s="90"/>
      <c r="V90" s="120"/>
      <c r="W90" s="90"/>
      <c r="X90" s="90"/>
      <c r="Y90" s="90"/>
      <c r="Z90" s="90"/>
    </row>
    <row r="91">
      <c r="A91" s="90"/>
      <c r="B91" s="90"/>
      <c r="C91" s="90"/>
      <c r="D91" s="90"/>
      <c r="E91" s="90"/>
      <c r="F91" s="90"/>
      <c r="G91" s="90"/>
      <c r="H91" s="90"/>
      <c r="I91" s="90"/>
      <c r="J91" s="90"/>
      <c r="K91" s="90"/>
      <c r="L91" s="90"/>
      <c r="M91" s="90"/>
      <c r="N91" s="90"/>
      <c r="O91" s="90"/>
      <c r="P91" s="90"/>
      <c r="Q91" s="90"/>
      <c r="R91" s="90"/>
      <c r="S91" s="90"/>
      <c r="T91" s="90"/>
      <c r="U91" s="90"/>
      <c r="V91" s="120"/>
      <c r="W91" s="90"/>
      <c r="X91" s="90"/>
      <c r="Y91" s="90"/>
      <c r="Z91" s="90"/>
    </row>
    <row r="92">
      <c r="A92" s="90"/>
      <c r="B92" s="90"/>
      <c r="C92" s="90"/>
      <c r="D92" s="90"/>
      <c r="E92" s="90"/>
      <c r="F92" s="90"/>
      <c r="G92" s="90"/>
      <c r="H92" s="90"/>
      <c r="I92" s="90"/>
      <c r="J92" s="90"/>
      <c r="K92" s="90"/>
      <c r="L92" s="90"/>
      <c r="M92" s="90"/>
      <c r="N92" s="90"/>
      <c r="O92" s="90"/>
      <c r="P92" s="90"/>
      <c r="Q92" s="90"/>
      <c r="R92" s="90"/>
      <c r="S92" s="90"/>
      <c r="T92" s="90"/>
      <c r="U92" s="90"/>
      <c r="V92" s="120"/>
      <c r="W92" s="90"/>
      <c r="X92" s="90"/>
      <c r="Y92" s="90"/>
      <c r="Z92" s="90"/>
    </row>
    <row r="93">
      <c r="A93" s="90"/>
      <c r="B93" s="90"/>
      <c r="C93" s="90"/>
      <c r="D93" s="90"/>
      <c r="E93" s="90"/>
      <c r="F93" s="90"/>
      <c r="G93" s="90"/>
      <c r="H93" s="90"/>
      <c r="I93" s="90"/>
      <c r="J93" s="90"/>
      <c r="K93" s="90"/>
      <c r="L93" s="90"/>
      <c r="M93" s="90"/>
      <c r="N93" s="90"/>
      <c r="O93" s="90"/>
      <c r="P93" s="90"/>
      <c r="Q93" s="90"/>
      <c r="R93" s="90"/>
      <c r="S93" s="90"/>
      <c r="T93" s="90"/>
      <c r="U93" s="90"/>
      <c r="V93" s="120"/>
      <c r="W93" s="90"/>
      <c r="X93" s="90"/>
      <c r="Y93" s="90"/>
      <c r="Z93" s="90"/>
    </row>
    <row r="94">
      <c r="A94" s="90"/>
      <c r="B94" s="90"/>
      <c r="C94" s="90"/>
      <c r="D94" s="90"/>
      <c r="E94" s="90"/>
      <c r="F94" s="90"/>
      <c r="G94" s="90"/>
      <c r="H94" s="90"/>
      <c r="I94" s="90"/>
      <c r="J94" s="90"/>
      <c r="K94" s="90"/>
      <c r="L94" s="90"/>
      <c r="M94" s="90"/>
      <c r="N94" s="90"/>
      <c r="O94" s="90"/>
      <c r="P94" s="90"/>
      <c r="Q94" s="90"/>
      <c r="R94" s="90"/>
      <c r="S94" s="90"/>
      <c r="T94" s="90"/>
      <c r="U94" s="90"/>
      <c r="V94" s="120"/>
      <c r="W94" s="90"/>
      <c r="X94" s="90"/>
      <c r="Y94" s="90"/>
      <c r="Z94" s="90"/>
    </row>
    <row r="95">
      <c r="A95" s="90"/>
      <c r="B95" s="90"/>
      <c r="C95" s="90"/>
      <c r="D95" s="90"/>
      <c r="E95" s="90"/>
      <c r="F95" s="90"/>
      <c r="G95" s="90"/>
      <c r="H95" s="90"/>
      <c r="I95" s="90"/>
      <c r="J95" s="90"/>
      <c r="K95" s="90"/>
      <c r="L95" s="90"/>
      <c r="M95" s="90"/>
      <c r="N95" s="90"/>
      <c r="O95" s="90"/>
      <c r="P95" s="90"/>
      <c r="Q95" s="90"/>
      <c r="R95" s="90"/>
      <c r="S95" s="90"/>
      <c r="T95" s="90"/>
      <c r="U95" s="90"/>
      <c r="V95" s="120"/>
      <c r="W95" s="90"/>
      <c r="X95" s="90"/>
      <c r="Y95" s="90"/>
      <c r="Z95" s="90"/>
    </row>
    <row r="96">
      <c r="A96" s="90"/>
      <c r="B96" s="90"/>
      <c r="C96" s="90"/>
      <c r="D96" s="90"/>
      <c r="E96" s="90"/>
      <c r="F96" s="90"/>
      <c r="G96" s="90"/>
      <c r="H96" s="90"/>
      <c r="I96" s="90"/>
      <c r="J96" s="90"/>
      <c r="K96" s="90"/>
      <c r="L96" s="90"/>
      <c r="M96" s="90"/>
      <c r="N96" s="90"/>
      <c r="O96" s="90"/>
      <c r="P96" s="90"/>
      <c r="Q96" s="90"/>
      <c r="R96" s="90"/>
      <c r="S96" s="90"/>
      <c r="T96" s="90"/>
      <c r="U96" s="90"/>
      <c r="V96" s="120"/>
      <c r="W96" s="90"/>
      <c r="X96" s="90"/>
      <c r="Y96" s="90"/>
      <c r="Z96" s="90"/>
    </row>
    <row r="97">
      <c r="A97" s="90"/>
      <c r="B97" s="90"/>
      <c r="C97" s="90"/>
      <c r="D97" s="90"/>
      <c r="E97" s="90"/>
      <c r="F97" s="90"/>
      <c r="G97" s="90"/>
      <c r="H97" s="90"/>
      <c r="I97" s="90"/>
      <c r="J97" s="90"/>
      <c r="K97" s="90"/>
      <c r="L97" s="90"/>
      <c r="M97" s="90"/>
      <c r="N97" s="90"/>
      <c r="O97" s="90"/>
      <c r="P97" s="90"/>
      <c r="Q97" s="90"/>
      <c r="R97" s="90"/>
      <c r="S97" s="90"/>
      <c r="T97" s="90"/>
      <c r="U97" s="90"/>
      <c r="V97" s="120"/>
      <c r="W97" s="90"/>
      <c r="X97" s="90"/>
      <c r="Y97" s="90"/>
      <c r="Z97" s="90"/>
    </row>
    <row r="98">
      <c r="A98" s="90"/>
      <c r="B98" s="90"/>
      <c r="C98" s="90"/>
      <c r="D98" s="90"/>
      <c r="E98" s="90"/>
      <c r="F98" s="90"/>
      <c r="G98" s="90"/>
      <c r="H98" s="90"/>
      <c r="I98" s="90"/>
      <c r="J98" s="90"/>
      <c r="K98" s="90"/>
      <c r="L98" s="90"/>
      <c r="M98" s="90"/>
      <c r="N98" s="90"/>
      <c r="O98" s="90"/>
      <c r="P98" s="90"/>
      <c r="Q98" s="90"/>
      <c r="R98" s="90"/>
      <c r="S98" s="90"/>
      <c r="T98" s="90"/>
      <c r="U98" s="90"/>
      <c r="V98" s="120"/>
      <c r="W98" s="90"/>
      <c r="X98" s="90"/>
      <c r="Y98" s="90"/>
      <c r="Z98" s="90"/>
    </row>
    <row r="99">
      <c r="A99" s="90"/>
      <c r="B99" s="90"/>
      <c r="C99" s="90"/>
      <c r="D99" s="90"/>
      <c r="E99" s="90"/>
      <c r="F99" s="90"/>
      <c r="G99" s="90"/>
      <c r="H99" s="90"/>
      <c r="I99" s="90"/>
      <c r="J99" s="90"/>
      <c r="K99" s="90"/>
      <c r="L99" s="90"/>
      <c r="M99" s="90"/>
      <c r="N99" s="90"/>
      <c r="O99" s="90"/>
      <c r="P99" s="90"/>
      <c r="Q99" s="90"/>
      <c r="R99" s="90"/>
      <c r="S99" s="90"/>
      <c r="T99" s="90"/>
      <c r="U99" s="90"/>
      <c r="V99" s="120"/>
      <c r="W99" s="90"/>
      <c r="X99" s="90"/>
      <c r="Y99" s="90"/>
      <c r="Z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120"/>
      <c r="W100" s="90"/>
      <c r="X100" s="90"/>
      <c r="Y100" s="90"/>
      <c r="Z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120"/>
      <c r="W101" s="90"/>
      <c r="X101" s="90"/>
      <c r="Y101" s="90"/>
      <c r="Z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120"/>
      <c r="W102" s="90"/>
      <c r="X102" s="90"/>
      <c r="Y102" s="90"/>
      <c r="Z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120"/>
      <c r="W103" s="90"/>
      <c r="X103" s="90"/>
      <c r="Y103" s="90"/>
      <c r="Z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120"/>
      <c r="W104" s="90"/>
      <c r="X104" s="90"/>
      <c r="Y104" s="90"/>
      <c r="Z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120"/>
      <c r="W105" s="90"/>
      <c r="X105" s="90"/>
      <c r="Y105" s="90"/>
      <c r="Z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120"/>
      <c r="W106" s="90"/>
      <c r="X106" s="90"/>
      <c r="Y106" s="90"/>
      <c r="Z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120"/>
      <c r="W107" s="90"/>
      <c r="X107" s="90"/>
      <c r="Y107" s="90"/>
      <c r="Z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120"/>
      <c r="W108" s="90"/>
      <c r="X108" s="90"/>
      <c r="Y108" s="90"/>
      <c r="Z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120"/>
      <c r="W109" s="90"/>
      <c r="X109" s="90"/>
      <c r="Y109" s="90"/>
      <c r="Z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120"/>
      <c r="W110" s="90"/>
      <c r="X110" s="90"/>
      <c r="Y110" s="90"/>
      <c r="Z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120"/>
      <c r="W111" s="90"/>
      <c r="X111" s="90"/>
      <c r="Y111" s="90"/>
      <c r="Z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120"/>
      <c r="W112" s="90"/>
      <c r="X112" s="90"/>
      <c r="Y112" s="90"/>
      <c r="Z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120"/>
      <c r="W113" s="90"/>
      <c r="X113" s="90"/>
      <c r="Y113" s="90"/>
      <c r="Z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120"/>
      <c r="W114" s="90"/>
      <c r="X114" s="90"/>
      <c r="Y114" s="90"/>
      <c r="Z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120"/>
      <c r="W115" s="90"/>
      <c r="X115" s="90"/>
      <c r="Y115" s="90"/>
      <c r="Z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120"/>
      <c r="W116" s="90"/>
      <c r="X116" s="90"/>
      <c r="Y116" s="90"/>
      <c r="Z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120"/>
      <c r="W117" s="90"/>
      <c r="X117" s="90"/>
      <c r="Y117" s="90"/>
      <c r="Z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120"/>
      <c r="W118" s="90"/>
      <c r="X118" s="90"/>
      <c r="Y118" s="90"/>
      <c r="Z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120"/>
      <c r="W119" s="90"/>
      <c r="X119" s="90"/>
      <c r="Y119" s="90"/>
      <c r="Z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120"/>
      <c r="W120" s="90"/>
      <c r="X120" s="90"/>
      <c r="Y120" s="90"/>
      <c r="Z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120"/>
      <c r="W121" s="90"/>
      <c r="X121" s="90"/>
      <c r="Y121" s="90"/>
      <c r="Z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120"/>
      <c r="W122" s="90"/>
      <c r="X122" s="90"/>
      <c r="Y122" s="90"/>
      <c r="Z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120"/>
      <c r="W123" s="90"/>
      <c r="X123" s="90"/>
      <c r="Y123" s="90"/>
      <c r="Z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120"/>
      <c r="W124" s="90"/>
      <c r="X124" s="90"/>
      <c r="Y124" s="90"/>
      <c r="Z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120"/>
      <c r="W125" s="90"/>
      <c r="X125" s="90"/>
      <c r="Y125" s="90"/>
      <c r="Z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120"/>
      <c r="W126" s="90"/>
      <c r="X126" s="90"/>
      <c r="Y126" s="90"/>
      <c r="Z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120"/>
      <c r="W127" s="90"/>
      <c r="X127" s="90"/>
      <c r="Y127" s="90"/>
      <c r="Z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120"/>
      <c r="W128" s="90"/>
      <c r="X128" s="90"/>
      <c r="Y128" s="90"/>
      <c r="Z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120"/>
      <c r="W129" s="90"/>
      <c r="X129" s="90"/>
      <c r="Y129" s="90"/>
      <c r="Z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120"/>
      <c r="W130" s="90"/>
      <c r="X130" s="90"/>
      <c r="Y130" s="90"/>
      <c r="Z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120"/>
      <c r="W131" s="90"/>
      <c r="X131" s="90"/>
      <c r="Y131" s="90"/>
      <c r="Z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120"/>
      <c r="W132" s="90"/>
      <c r="X132" s="90"/>
      <c r="Y132" s="90"/>
      <c r="Z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120"/>
      <c r="W133" s="90"/>
      <c r="X133" s="90"/>
      <c r="Y133" s="90"/>
      <c r="Z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120"/>
      <c r="W134" s="90"/>
      <c r="X134" s="90"/>
      <c r="Y134" s="90"/>
      <c r="Z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120"/>
      <c r="W135" s="90"/>
      <c r="X135" s="90"/>
      <c r="Y135" s="90"/>
      <c r="Z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120"/>
      <c r="W136" s="90"/>
      <c r="X136" s="90"/>
      <c r="Y136" s="90"/>
      <c r="Z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120"/>
      <c r="W137" s="90"/>
      <c r="X137" s="90"/>
      <c r="Y137" s="90"/>
      <c r="Z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120"/>
      <c r="W138" s="90"/>
      <c r="X138" s="90"/>
      <c r="Y138" s="90"/>
      <c r="Z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120"/>
      <c r="W139" s="90"/>
      <c r="X139" s="90"/>
      <c r="Y139" s="90"/>
      <c r="Z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120"/>
      <c r="W140" s="90"/>
      <c r="X140" s="90"/>
      <c r="Y140" s="90"/>
      <c r="Z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120"/>
      <c r="W141" s="90"/>
      <c r="X141" s="90"/>
      <c r="Y141" s="90"/>
      <c r="Z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120"/>
      <c r="W142" s="90"/>
      <c r="X142" s="90"/>
      <c r="Y142" s="90"/>
      <c r="Z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120"/>
      <c r="W143" s="90"/>
      <c r="X143" s="90"/>
      <c r="Y143" s="90"/>
      <c r="Z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120"/>
      <c r="W144" s="90"/>
      <c r="X144" s="90"/>
      <c r="Y144" s="90"/>
      <c r="Z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120"/>
      <c r="W145" s="90"/>
      <c r="X145" s="90"/>
      <c r="Y145" s="90"/>
      <c r="Z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120"/>
      <c r="W146" s="90"/>
      <c r="X146" s="90"/>
      <c r="Y146" s="90"/>
      <c r="Z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120"/>
      <c r="W147" s="90"/>
      <c r="X147" s="90"/>
      <c r="Y147" s="90"/>
      <c r="Z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120"/>
      <c r="W148" s="90"/>
      <c r="X148" s="90"/>
      <c r="Y148" s="90"/>
      <c r="Z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120"/>
      <c r="W149" s="90"/>
      <c r="X149" s="90"/>
      <c r="Y149" s="90"/>
      <c r="Z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120"/>
      <c r="W150" s="90"/>
      <c r="X150" s="90"/>
      <c r="Y150" s="90"/>
      <c r="Z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120"/>
      <c r="W151" s="90"/>
      <c r="X151" s="90"/>
      <c r="Y151" s="90"/>
      <c r="Z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120"/>
      <c r="W152" s="90"/>
      <c r="X152" s="90"/>
      <c r="Y152" s="90"/>
      <c r="Z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120"/>
      <c r="W153" s="90"/>
      <c r="X153" s="90"/>
      <c r="Y153" s="90"/>
      <c r="Z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120"/>
      <c r="W154" s="90"/>
      <c r="X154" s="90"/>
      <c r="Y154" s="90"/>
      <c r="Z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120"/>
      <c r="W155" s="90"/>
      <c r="X155" s="90"/>
      <c r="Y155" s="90"/>
      <c r="Z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120"/>
      <c r="W156" s="90"/>
      <c r="X156" s="90"/>
      <c r="Y156" s="90"/>
      <c r="Z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120"/>
      <c r="W157" s="90"/>
      <c r="X157" s="90"/>
      <c r="Y157" s="90"/>
      <c r="Z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120"/>
      <c r="W158" s="90"/>
      <c r="X158" s="90"/>
      <c r="Y158" s="90"/>
      <c r="Z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120"/>
      <c r="W159" s="90"/>
      <c r="X159" s="90"/>
      <c r="Y159" s="90"/>
      <c r="Z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120"/>
      <c r="W160" s="90"/>
      <c r="X160" s="90"/>
      <c r="Y160" s="90"/>
      <c r="Z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120"/>
      <c r="W161" s="90"/>
      <c r="X161" s="90"/>
      <c r="Y161" s="90"/>
      <c r="Z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120"/>
      <c r="W162" s="90"/>
      <c r="X162" s="90"/>
      <c r="Y162" s="90"/>
      <c r="Z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120"/>
      <c r="W163" s="90"/>
      <c r="X163" s="90"/>
      <c r="Y163" s="90"/>
      <c r="Z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120"/>
      <c r="W164" s="90"/>
      <c r="X164" s="90"/>
      <c r="Y164" s="90"/>
      <c r="Z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120"/>
      <c r="W165" s="90"/>
      <c r="X165" s="90"/>
      <c r="Y165" s="90"/>
      <c r="Z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120"/>
      <c r="W166" s="90"/>
      <c r="X166" s="90"/>
      <c r="Y166" s="90"/>
      <c r="Z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120"/>
      <c r="W167" s="90"/>
      <c r="X167" s="90"/>
      <c r="Y167" s="90"/>
      <c r="Z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120"/>
      <c r="W168" s="90"/>
      <c r="X168" s="90"/>
      <c r="Y168" s="90"/>
      <c r="Z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120"/>
      <c r="W169" s="90"/>
      <c r="X169" s="90"/>
      <c r="Y169" s="90"/>
      <c r="Z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120"/>
      <c r="W170" s="90"/>
      <c r="X170" s="90"/>
      <c r="Y170" s="90"/>
      <c r="Z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120"/>
      <c r="W171" s="90"/>
      <c r="X171" s="90"/>
      <c r="Y171" s="90"/>
      <c r="Z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120"/>
      <c r="W172" s="90"/>
      <c r="X172" s="90"/>
      <c r="Y172" s="90"/>
      <c r="Z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120"/>
      <c r="W173" s="90"/>
      <c r="X173" s="90"/>
      <c r="Y173" s="90"/>
      <c r="Z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120"/>
      <c r="W174" s="90"/>
      <c r="X174" s="90"/>
      <c r="Y174" s="90"/>
      <c r="Z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120"/>
      <c r="W175" s="90"/>
      <c r="X175" s="90"/>
      <c r="Y175" s="90"/>
      <c r="Z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120"/>
      <c r="W176" s="90"/>
      <c r="X176" s="90"/>
      <c r="Y176" s="90"/>
      <c r="Z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120"/>
      <c r="W177" s="90"/>
      <c r="X177" s="90"/>
      <c r="Y177" s="90"/>
      <c r="Z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120"/>
      <c r="W178" s="90"/>
      <c r="X178" s="90"/>
      <c r="Y178" s="90"/>
      <c r="Z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120"/>
      <c r="W179" s="90"/>
      <c r="X179" s="90"/>
      <c r="Y179" s="90"/>
      <c r="Z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120"/>
      <c r="W180" s="90"/>
      <c r="X180" s="90"/>
      <c r="Y180" s="90"/>
      <c r="Z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120"/>
      <c r="W181" s="90"/>
      <c r="X181" s="90"/>
      <c r="Y181" s="90"/>
      <c r="Z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120"/>
      <c r="W182" s="90"/>
      <c r="X182" s="90"/>
      <c r="Y182" s="90"/>
      <c r="Z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120"/>
      <c r="W183" s="90"/>
      <c r="X183" s="90"/>
      <c r="Y183" s="90"/>
      <c r="Z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120"/>
      <c r="W184" s="90"/>
      <c r="X184" s="90"/>
      <c r="Y184" s="90"/>
      <c r="Z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120"/>
      <c r="W185" s="90"/>
      <c r="X185" s="90"/>
      <c r="Y185" s="90"/>
      <c r="Z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120"/>
      <c r="W186" s="90"/>
      <c r="X186" s="90"/>
      <c r="Y186" s="90"/>
      <c r="Z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120"/>
      <c r="W187" s="90"/>
      <c r="X187" s="90"/>
      <c r="Y187" s="90"/>
      <c r="Z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120"/>
      <c r="W188" s="90"/>
      <c r="X188" s="90"/>
      <c r="Y188" s="90"/>
      <c r="Z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120"/>
      <c r="W189" s="90"/>
      <c r="X189" s="90"/>
      <c r="Y189" s="90"/>
      <c r="Z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120"/>
      <c r="W190" s="90"/>
      <c r="X190" s="90"/>
      <c r="Y190" s="90"/>
      <c r="Z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120"/>
      <c r="W191" s="90"/>
      <c r="X191" s="90"/>
      <c r="Y191" s="90"/>
      <c r="Z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120"/>
      <c r="W192" s="90"/>
      <c r="X192" s="90"/>
      <c r="Y192" s="90"/>
      <c r="Z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120"/>
      <c r="W193" s="90"/>
      <c r="X193" s="90"/>
      <c r="Y193" s="90"/>
      <c r="Z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120"/>
      <c r="W194" s="90"/>
      <c r="X194" s="90"/>
      <c r="Y194" s="90"/>
      <c r="Z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120"/>
      <c r="W195" s="90"/>
      <c r="X195" s="90"/>
      <c r="Y195" s="90"/>
      <c r="Z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120"/>
      <c r="W196" s="90"/>
      <c r="X196" s="90"/>
      <c r="Y196" s="90"/>
      <c r="Z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120"/>
      <c r="W197" s="90"/>
      <c r="X197" s="90"/>
      <c r="Y197" s="90"/>
      <c r="Z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120"/>
      <c r="W198" s="90"/>
      <c r="X198" s="90"/>
      <c r="Y198" s="90"/>
      <c r="Z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120"/>
      <c r="W199" s="90"/>
      <c r="X199" s="90"/>
      <c r="Y199" s="90"/>
      <c r="Z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120"/>
      <c r="W200" s="90"/>
      <c r="X200" s="90"/>
      <c r="Y200" s="90"/>
      <c r="Z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120"/>
      <c r="W201" s="90"/>
      <c r="X201" s="90"/>
      <c r="Y201" s="90"/>
      <c r="Z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120"/>
      <c r="W202" s="90"/>
      <c r="X202" s="90"/>
      <c r="Y202" s="90"/>
      <c r="Z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120"/>
      <c r="W203" s="90"/>
      <c r="X203" s="90"/>
      <c r="Y203" s="90"/>
      <c r="Z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120"/>
      <c r="W204" s="90"/>
      <c r="X204" s="90"/>
      <c r="Y204" s="90"/>
      <c r="Z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120"/>
      <c r="W205" s="90"/>
      <c r="X205" s="90"/>
      <c r="Y205" s="90"/>
      <c r="Z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120"/>
      <c r="W206" s="90"/>
      <c r="X206" s="90"/>
      <c r="Y206" s="90"/>
      <c r="Z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120"/>
      <c r="W207" s="90"/>
      <c r="X207" s="90"/>
      <c r="Y207" s="90"/>
      <c r="Z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120"/>
      <c r="W208" s="90"/>
      <c r="X208" s="90"/>
      <c r="Y208" s="90"/>
      <c r="Z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120"/>
      <c r="W209" s="90"/>
      <c r="X209" s="90"/>
      <c r="Y209" s="90"/>
      <c r="Z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120"/>
      <c r="W210" s="90"/>
      <c r="X210" s="90"/>
      <c r="Y210" s="90"/>
      <c r="Z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120"/>
      <c r="W211" s="90"/>
      <c r="X211" s="90"/>
      <c r="Y211" s="90"/>
      <c r="Z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120"/>
      <c r="W212" s="90"/>
      <c r="X212" s="90"/>
      <c r="Y212" s="90"/>
      <c r="Z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120"/>
      <c r="W213" s="90"/>
      <c r="X213" s="90"/>
      <c r="Y213" s="90"/>
      <c r="Z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120"/>
      <c r="W214" s="90"/>
      <c r="X214" s="90"/>
      <c r="Y214" s="90"/>
      <c r="Z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120"/>
      <c r="W215" s="90"/>
      <c r="X215" s="90"/>
      <c r="Y215" s="90"/>
      <c r="Z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120"/>
      <c r="W216" s="90"/>
      <c r="X216" s="90"/>
      <c r="Y216" s="90"/>
      <c r="Z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120"/>
      <c r="W217" s="90"/>
      <c r="X217" s="90"/>
      <c r="Y217" s="90"/>
      <c r="Z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120"/>
      <c r="W218" s="90"/>
      <c r="X218" s="90"/>
      <c r="Y218" s="90"/>
      <c r="Z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120"/>
      <c r="W219" s="90"/>
      <c r="X219" s="90"/>
      <c r="Y219" s="90"/>
      <c r="Z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120"/>
      <c r="W220" s="90"/>
      <c r="X220" s="90"/>
      <c r="Y220" s="90"/>
      <c r="Z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120"/>
      <c r="W221" s="90"/>
      <c r="X221" s="90"/>
      <c r="Y221" s="90"/>
      <c r="Z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120"/>
      <c r="W222" s="90"/>
      <c r="X222" s="90"/>
      <c r="Y222" s="90"/>
      <c r="Z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120"/>
      <c r="W223" s="90"/>
      <c r="X223" s="90"/>
      <c r="Y223" s="90"/>
      <c r="Z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120"/>
      <c r="W224" s="90"/>
      <c r="X224" s="90"/>
      <c r="Y224" s="90"/>
      <c r="Z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120"/>
      <c r="W225" s="90"/>
      <c r="X225" s="90"/>
      <c r="Y225" s="90"/>
      <c r="Z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120"/>
      <c r="W226" s="90"/>
      <c r="X226" s="90"/>
      <c r="Y226" s="90"/>
      <c r="Z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120"/>
      <c r="W227" s="90"/>
      <c r="X227" s="90"/>
      <c r="Y227" s="90"/>
      <c r="Z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120"/>
      <c r="W228" s="90"/>
      <c r="X228" s="90"/>
      <c r="Y228" s="90"/>
      <c r="Z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120"/>
      <c r="W229" s="90"/>
      <c r="X229" s="90"/>
      <c r="Y229" s="90"/>
      <c r="Z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120"/>
      <c r="W230" s="90"/>
      <c r="X230" s="90"/>
      <c r="Y230" s="90"/>
      <c r="Z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120"/>
      <c r="W231" s="90"/>
      <c r="X231" s="90"/>
      <c r="Y231" s="90"/>
      <c r="Z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120"/>
      <c r="W232" s="90"/>
      <c r="X232" s="90"/>
      <c r="Y232" s="90"/>
      <c r="Z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120"/>
      <c r="W233" s="90"/>
      <c r="X233" s="90"/>
      <c r="Y233" s="90"/>
      <c r="Z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120"/>
      <c r="W234" s="90"/>
      <c r="X234" s="90"/>
      <c r="Y234" s="90"/>
      <c r="Z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120"/>
      <c r="W235" s="90"/>
      <c r="X235" s="90"/>
      <c r="Y235" s="90"/>
      <c r="Z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120"/>
      <c r="W236" s="90"/>
      <c r="X236" s="90"/>
      <c r="Y236" s="90"/>
      <c r="Z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120"/>
      <c r="W237" s="90"/>
      <c r="X237" s="90"/>
      <c r="Y237" s="90"/>
      <c r="Z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120"/>
      <c r="W238" s="90"/>
      <c r="X238" s="90"/>
      <c r="Y238" s="90"/>
      <c r="Z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120"/>
      <c r="W239" s="90"/>
      <c r="X239" s="90"/>
      <c r="Y239" s="90"/>
      <c r="Z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120"/>
      <c r="W240" s="90"/>
      <c r="X240" s="90"/>
      <c r="Y240" s="90"/>
      <c r="Z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120"/>
      <c r="W241" s="90"/>
      <c r="X241" s="90"/>
      <c r="Y241" s="90"/>
      <c r="Z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120"/>
      <c r="W242" s="90"/>
      <c r="X242" s="90"/>
      <c r="Y242" s="90"/>
      <c r="Z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120"/>
      <c r="W243" s="90"/>
      <c r="X243" s="90"/>
      <c r="Y243" s="90"/>
      <c r="Z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120"/>
      <c r="W244" s="90"/>
      <c r="X244" s="90"/>
      <c r="Y244" s="90"/>
      <c r="Z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120"/>
      <c r="W245" s="90"/>
      <c r="X245" s="90"/>
      <c r="Y245" s="90"/>
      <c r="Z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120"/>
      <c r="W246" s="90"/>
      <c r="X246" s="90"/>
      <c r="Y246" s="90"/>
      <c r="Z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120"/>
      <c r="W247" s="90"/>
      <c r="X247" s="90"/>
      <c r="Y247" s="90"/>
      <c r="Z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120"/>
      <c r="W248" s="90"/>
      <c r="X248" s="90"/>
      <c r="Y248" s="90"/>
      <c r="Z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120"/>
      <c r="W249" s="90"/>
      <c r="X249" s="90"/>
      <c r="Y249" s="90"/>
      <c r="Z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120"/>
      <c r="W250" s="90"/>
      <c r="X250" s="90"/>
      <c r="Y250" s="90"/>
      <c r="Z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120"/>
      <c r="W251" s="90"/>
      <c r="X251" s="90"/>
      <c r="Y251" s="90"/>
      <c r="Z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120"/>
      <c r="W252" s="90"/>
      <c r="X252" s="90"/>
      <c r="Y252" s="90"/>
      <c r="Z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120"/>
      <c r="W253" s="90"/>
      <c r="X253" s="90"/>
      <c r="Y253" s="90"/>
      <c r="Z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120"/>
      <c r="W254" s="90"/>
      <c r="X254" s="90"/>
      <c r="Y254" s="90"/>
      <c r="Z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120"/>
      <c r="W255" s="90"/>
      <c r="X255" s="90"/>
      <c r="Y255" s="90"/>
      <c r="Z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120"/>
      <c r="W256" s="90"/>
      <c r="X256" s="90"/>
      <c r="Y256" s="90"/>
      <c r="Z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120"/>
      <c r="W257" s="90"/>
      <c r="X257" s="90"/>
      <c r="Y257" s="90"/>
      <c r="Z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120"/>
      <c r="W258" s="90"/>
      <c r="X258" s="90"/>
      <c r="Y258" s="90"/>
      <c r="Z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120"/>
      <c r="W259" s="90"/>
      <c r="X259" s="90"/>
      <c r="Y259" s="90"/>
      <c r="Z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120"/>
      <c r="W260" s="90"/>
      <c r="X260" s="90"/>
      <c r="Y260" s="90"/>
      <c r="Z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120"/>
      <c r="W261" s="90"/>
      <c r="X261" s="90"/>
      <c r="Y261" s="90"/>
      <c r="Z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120"/>
      <c r="W262" s="90"/>
      <c r="X262" s="90"/>
      <c r="Y262" s="90"/>
      <c r="Z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120"/>
      <c r="W263" s="90"/>
      <c r="X263" s="90"/>
      <c r="Y263" s="90"/>
      <c r="Z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120"/>
      <c r="W264" s="90"/>
      <c r="X264" s="90"/>
      <c r="Y264" s="90"/>
      <c r="Z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120"/>
      <c r="W265" s="90"/>
      <c r="X265" s="90"/>
      <c r="Y265" s="90"/>
      <c r="Z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120"/>
      <c r="W266" s="90"/>
      <c r="X266" s="90"/>
      <c r="Y266" s="90"/>
      <c r="Z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120"/>
      <c r="W267" s="90"/>
      <c r="X267" s="90"/>
      <c r="Y267" s="90"/>
      <c r="Z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120"/>
      <c r="W268" s="90"/>
      <c r="X268" s="90"/>
      <c r="Y268" s="90"/>
      <c r="Z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120"/>
      <c r="W269" s="90"/>
      <c r="X269" s="90"/>
      <c r="Y269" s="90"/>
      <c r="Z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120"/>
      <c r="W270" s="90"/>
      <c r="X270" s="90"/>
      <c r="Y270" s="90"/>
      <c r="Z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120"/>
      <c r="W271" s="90"/>
      <c r="X271" s="90"/>
      <c r="Y271" s="90"/>
      <c r="Z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120"/>
      <c r="W272" s="90"/>
      <c r="X272" s="90"/>
      <c r="Y272" s="90"/>
      <c r="Z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120"/>
      <c r="W273" s="90"/>
      <c r="X273" s="90"/>
      <c r="Y273" s="90"/>
      <c r="Z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120"/>
      <c r="W274" s="90"/>
      <c r="X274" s="90"/>
      <c r="Y274" s="90"/>
      <c r="Z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120"/>
      <c r="W275" s="90"/>
      <c r="X275" s="90"/>
      <c r="Y275" s="90"/>
      <c r="Z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120"/>
      <c r="W276" s="90"/>
      <c r="X276" s="90"/>
      <c r="Y276" s="90"/>
      <c r="Z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120"/>
      <c r="W277" s="90"/>
      <c r="X277" s="90"/>
      <c r="Y277" s="90"/>
      <c r="Z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120"/>
      <c r="W278" s="90"/>
      <c r="X278" s="90"/>
      <c r="Y278" s="90"/>
      <c r="Z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120"/>
      <c r="W279" s="90"/>
      <c r="X279" s="90"/>
      <c r="Y279" s="90"/>
      <c r="Z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120"/>
      <c r="W280" s="90"/>
      <c r="X280" s="90"/>
      <c r="Y280" s="90"/>
      <c r="Z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120"/>
      <c r="W281" s="90"/>
      <c r="X281" s="90"/>
      <c r="Y281" s="90"/>
      <c r="Z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120"/>
      <c r="W282" s="90"/>
      <c r="X282" s="90"/>
      <c r="Y282" s="90"/>
      <c r="Z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120"/>
      <c r="W283" s="90"/>
      <c r="X283" s="90"/>
      <c r="Y283" s="90"/>
      <c r="Z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120"/>
      <c r="W284" s="90"/>
      <c r="X284" s="90"/>
      <c r="Y284" s="90"/>
      <c r="Z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120"/>
      <c r="W285" s="90"/>
      <c r="X285" s="90"/>
      <c r="Y285" s="90"/>
      <c r="Z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120"/>
      <c r="W286" s="90"/>
      <c r="X286" s="90"/>
      <c r="Y286" s="90"/>
      <c r="Z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120"/>
      <c r="W287" s="90"/>
      <c r="X287" s="90"/>
      <c r="Y287" s="90"/>
      <c r="Z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120"/>
      <c r="W288" s="90"/>
      <c r="X288" s="90"/>
      <c r="Y288" s="90"/>
      <c r="Z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120"/>
      <c r="W289" s="90"/>
      <c r="X289" s="90"/>
      <c r="Y289" s="90"/>
      <c r="Z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120"/>
      <c r="W290" s="90"/>
      <c r="X290" s="90"/>
      <c r="Y290" s="90"/>
      <c r="Z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120"/>
      <c r="W291" s="90"/>
      <c r="X291" s="90"/>
      <c r="Y291" s="90"/>
      <c r="Z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120"/>
      <c r="W292" s="90"/>
      <c r="X292" s="90"/>
      <c r="Y292" s="90"/>
      <c r="Z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120"/>
      <c r="W293" s="90"/>
      <c r="X293" s="90"/>
      <c r="Y293" s="90"/>
      <c r="Z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120"/>
      <c r="W294" s="90"/>
      <c r="X294" s="90"/>
      <c r="Y294" s="90"/>
      <c r="Z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120"/>
      <c r="W295" s="90"/>
      <c r="X295" s="90"/>
      <c r="Y295" s="90"/>
      <c r="Z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120"/>
      <c r="W296" s="90"/>
      <c r="X296" s="90"/>
      <c r="Y296" s="90"/>
      <c r="Z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120"/>
      <c r="W297" s="90"/>
      <c r="X297" s="90"/>
      <c r="Y297" s="90"/>
      <c r="Z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120"/>
      <c r="W298" s="90"/>
      <c r="X298" s="90"/>
      <c r="Y298" s="90"/>
      <c r="Z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120"/>
      <c r="W299" s="90"/>
      <c r="X299" s="90"/>
      <c r="Y299" s="90"/>
      <c r="Z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120"/>
      <c r="W300" s="90"/>
      <c r="X300" s="90"/>
      <c r="Y300" s="90"/>
      <c r="Z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120"/>
      <c r="W301" s="90"/>
      <c r="X301" s="90"/>
      <c r="Y301" s="90"/>
      <c r="Z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120"/>
      <c r="W302" s="90"/>
      <c r="X302" s="90"/>
      <c r="Y302" s="90"/>
      <c r="Z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120"/>
      <c r="W303" s="90"/>
      <c r="X303" s="90"/>
      <c r="Y303" s="90"/>
      <c r="Z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120"/>
      <c r="W304" s="90"/>
      <c r="X304" s="90"/>
      <c r="Y304" s="90"/>
      <c r="Z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120"/>
      <c r="W305" s="90"/>
      <c r="X305" s="90"/>
      <c r="Y305" s="90"/>
      <c r="Z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120"/>
      <c r="W306" s="90"/>
      <c r="X306" s="90"/>
      <c r="Y306" s="90"/>
      <c r="Z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120"/>
      <c r="W307" s="90"/>
      <c r="X307" s="90"/>
      <c r="Y307" s="90"/>
      <c r="Z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120"/>
      <c r="W308" s="90"/>
      <c r="X308" s="90"/>
      <c r="Y308" s="90"/>
      <c r="Z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120"/>
      <c r="W309" s="90"/>
      <c r="X309" s="90"/>
      <c r="Y309" s="90"/>
      <c r="Z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120"/>
      <c r="W310" s="90"/>
      <c r="X310" s="90"/>
      <c r="Y310" s="90"/>
      <c r="Z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120"/>
      <c r="W311" s="90"/>
      <c r="X311" s="90"/>
      <c r="Y311" s="90"/>
      <c r="Z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120"/>
      <c r="W312" s="90"/>
      <c r="X312" s="90"/>
      <c r="Y312" s="90"/>
      <c r="Z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120"/>
      <c r="W313" s="90"/>
      <c r="X313" s="90"/>
      <c r="Y313" s="90"/>
      <c r="Z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120"/>
      <c r="W314" s="90"/>
      <c r="X314" s="90"/>
      <c r="Y314" s="90"/>
      <c r="Z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120"/>
      <c r="W315" s="90"/>
      <c r="X315" s="90"/>
      <c r="Y315" s="90"/>
      <c r="Z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120"/>
      <c r="W316" s="90"/>
      <c r="X316" s="90"/>
      <c r="Y316" s="90"/>
      <c r="Z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120"/>
      <c r="W317" s="90"/>
      <c r="X317" s="90"/>
      <c r="Y317" s="90"/>
      <c r="Z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120"/>
      <c r="W318" s="90"/>
      <c r="X318" s="90"/>
      <c r="Y318" s="90"/>
      <c r="Z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120"/>
      <c r="W319" s="90"/>
      <c r="X319" s="90"/>
      <c r="Y319" s="90"/>
      <c r="Z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120"/>
      <c r="W320" s="90"/>
      <c r="X320" s="90"/>
      <c r="Y320" s="90"/>
      <c r="Z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120"/>
      <c r="W321" s="90"/>
      <c r="X321" s="90"/>
      <c r="Y321" s="90"/>
      <c r="Z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120"/>
      <c r="W322" s="90"/>
      <c r="X322" s="90"/>
      <c r="Y322" s="90"/>
      <c r="Z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120"/>
      <c r="W323" s="90"/>
      <c r="X323" s="90"/>
      <c r="Y323" s="90"/>
      <c r="Z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120"/>
      <c r="W324" s="90"/>
      <c r="X324" s="90"/>
      <c r="Y324" s="90"/>
      <c r="Z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120"/>
      <c r="W325" s="90"/>
      <c r="X325" s="90"/>
      <c r="Y325" s="90"/>
      <c r="Z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120"/>
      <c r="W326" s="90"/>
      <c r="X326" s="90"/>
      <c r="Y326" s="90"/>
      <c r="Z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120"/>
      <c r="W327" s="90"/>
      <c r="X327" s="90"/>
      <c r="Y327" s="90"/>
      <c r="Z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120"/>
      <c r="W328" s="90"/>
      <c r="X328" s="90"/>
      <c r="Y328" s="90"/>
      <c r="Z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120"/>
      <c r="W329" s="90"/>
      <c r="X329" s="90"/>
      <c r="Y329" s="90"/>
      <c r="Z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120"/>
      <c r="W330" s="90"/>
      <c r="X330" s="90"/>
      <c r="Y330" s="90"/>
      <c r="Z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120"/>
      <c r="W331" s="90"/>
      <c r="X331" s="90"/>
      <c r="Y331" s="90"/>
      <c r="Z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120"/>
      <c r="W332" s="90"/>
      <c r="X332" s="90"/>
      <c r="Y332" s="90"/>
      <c r="Z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120"/>
      <c r="W333" s="90"/>
      <c r="X333" s="90"/>
      <c r="Y333" s="90"/>
      <c r="Z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120"/>
      <c r="W334" s="90"/>
      <c r="X334" s="90"/>
      <c r="Y334" s="90"/>
      <c r="Z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120"/>
      <c r="W335" s="90"/>
      <c r="X335" s="90"/>
      <c r="Y335" s="90"/>
      <c r="Z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120"/>
      <c r="W336" s="90"/>
      <c r="X336" s="90"/>
      <c r="Y336" s="90"/>
      <c r="Z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120"/>
      <c r="W337" s="90"/>
      <c r="X337" s="90"/>
      <c r="Y337" s="90"/>
      <c r="Z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120"/>
      <c r="W338" s="90"/>
      <c r="X338" s="90"/>
      <c r="Y338" s="90"/>
      <c r="Z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120"/>
      <c r="W339" s="90"/>
      <c r="X339" s="90"/>
      <c r="Y339" s="90"/>
      <c r="Z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120"/>
      <c r="W340" s="90"/>
      <c r="X340" s="90"/>
      <c r="Y340" s="90"/>
      <c r="Z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120"/>
      <c r="W341" s="90"/>
      <c r="X341" s="90"/>
      <c r="Y341" s="90"/>
      <c r="Z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120"/>
      <c r="W342" s="90"/>
      <c r="X342" s="90"/>
      <c r="Y342" s="90"/>
      <c r="Z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120"/>
      <c r="W343" s="90"/>
      <c r="X343" s="90"/>
      <c r="Y343" s="90"/>
      <c r="Z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120"/>
      <c r="W344" s="90"/>
      <c r="X344" s="90"/>
      <c r="Y344" s="90"/>
      <c r="Z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120"/>
      <c r="W345" s="90"/>
      <c r="X345" s="90"/>
      <c r="Y345" s="90"/>
      <c r="Z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120"/>
      <c r="W346" s="90"/>
      <c r="X346" s="90"/>
      <c r="Y346" s="90"/>
      <c r="Z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120"/>
      <c r="W347" s="90"/>
      <c r="X347" s="90"/>
      <c r="Y347" s="90"/>
      <c r="Z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120"/>
      <c r="W348" s="90"/>
      <c r="X348" s="90"/>
      <c r="Y348" s="90"/>
      <c r="Z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120"/>
      <c r="W349" s="90"/>
      <c r="X349" s="90"/>
      <c r="Y349" s="90"/>
      <c r="Z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120"/>
      <c r="W350" s="90"/>
      <c r="X350" s="90"/>
      <c r="Y350" s="90"/>
      <c r="Z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120"/>
      <c r="W351" s="90"/>
      <c r="X351" s="90"/>
      <c r="Y351" s="90"/>
      <c r="Z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120"/>
      <c r="W352" s="90"/>
      <c r="X352" s="90"/>
      <c r="Y352" s="90"/>
      <c r="Z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120"/>
      <c r="W353" s="90"/>
      <c r="X353" s="90"/>
      <c r="Y353" s="90"/>
      <c r="Z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120"/>
      <c r="W354" s="90"/>
      <c r="X354" s="90"/>
      <c r="Y354" s="90"/>
      <c r="Z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120"/>
      <c r="W355" s="90"/>
      <c r="X355" s="90"/>
      <c r="Y355" s="90"/>
      <c r="Z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120"/>
      <c r="W356" s="90"/>
      <c r="X356" s="90"/>
      <c r="Y356" s="90"/>
      <c r="Z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120"/>
      <c r="W357" s="90"/>
      <c r="X357" s="90"/>
      <c r="Y357" s="90"/>
      <c r="Z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120"/>
      <c r="W358" s="90"/>
      <c r="X358" s="90"/>
      <c r="Y358" s="90"/>
      <c r="Z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120"/>
      <c r="W359" s="90"/>
      <c r="X359" s="90"/>
      <c r="Y359" s="90"/>
      <c r="Z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120"/>
      <c r="W360" s="90"/>
      <c r="X360" s="90"/>
      <c r="Y360" s="90"/>
      <c r="Z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120"/>
      <c r="W361" s="90"/>
      <c r="X361" s="90"/>
      <c r="Y361" s="90"/>
      <c r="Z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120"/>
      <c r="W362" s="90"/>
      <c r="X362" s="90"/>
      <c r="Y362" s="90"/>
      <c r="Z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120"/>
      <c r="W363" s="90"/>
      <c r="X363" s="90"/>
      <c r="Y363" s="90"/>
      <c r="Z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120"/>
      <c r="W364" s="90"/>
      <c r="X364" s="90"/>
      <c r="Y364" s="90"/>
      <c r="Z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120"/>
      <c r="W365" s="90"/>
      <c r="X365" s="90"/>
      <c r="Y365" s="90"/>
      <c r="Z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120"/>
      <c r="W366" s="90"/>
      <c r="X366" s="90"/>
      <c r="Y366" s="90"/>
      <c r="Z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120"/>
      <c r="W367" s="90"/>
      <c r="X367" s="90"/>
      <c r="Y367" s="90"/>
      <c r="Z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120"/>
      <c r="W368" s="90"/>
      <c r="X368" s="90"/>
      <c r="Y368" s="90"/>
      <c r="Z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120"/>
      <c r="W369" s="90"/>
      <c r="X369" s="90"/>
      <c r="Y369" s="90"/>
      <c r="Z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120"/>
      <c r="W370" s="90"/>
      <c r="X370" s="90"/>
      <c r="Y370" s="90"/>
      <c r="Z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120"/>
      <c r="W371" s="90"/>
      <c r="X371" s="90"/>
      <c r="Y371" s="90"/>
      <c r="Z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120"/>
      <c r="W372" s="90"/>
      <c r="X372" s="90"/>
      <c r="Y372" s="90"/>
      <c r="Z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120"/>
      <c r="W373" s="90"/>
      <c r="X373" s="90"/>
      <c r="Y373" s="90"/>
      <c r="Z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120"/>
      <c r="W374" s="90"/>
      <c r="X374" s="90"/>
      <c r="Y374" s="90"/>
      <c r="Z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120"/>
      <c r="W375" s="90"/>
      <c r="X375" s="90"/>
      <c r="Y375" s="90"/>
      <c r="Z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120"/>
      <c r="W376" s="90"/>
      <c r="X376" s="90"/>
      <c r="Y376" s="90"/>
      <c r="Z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120"/>
      <c r="W377" s="90"/>
      <c r="X377" s="90"/>
      <c r="Y377" s="90"/>
      <c r="Z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120"/>
      <c r="W378" s="90"/>
      <c r="X378" s="90"/>
      <c r="Y378" s="90"/>
      <c r="Z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120"/>
      <c r="W379" s="90"/>
      <c r="X379" s="90"/>
      <c r="Y379" s="90"/>
      <c r="Z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120"/>
      <c r="W380" s="90"/>
      <c r="X380" s="90"/>
      <c r="Y380" s="90"/>
      <c r="Z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120"/>
      <c r="W381" s="90"/>
      <c r="X381" s="90"/>
      <c r="Y381" s="90"/>
      <c r="Z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120"/>
      <c r="W382" s="90"/>
      <c r="X382" s="90"/>
      <c r="Y382" s="90"/>
      <c r="Z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120"/>
      <c r="W383" s="90"/>
      <c r="X383" s="90"/>
      <c r="Y383" s="90"/>
      <c r="Z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120"/>
      <c r="W384" s="90"/>
      <c r="X384" s="90"/>
      <c r="Y384" s="90"/>
      <c r="Z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120"/>
      <c r="W385" s="90"/>
      <c r="X385" s="90"/>
      <c r="Y385" s="90"/>
      <c r="Z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120"/>
      <c r="W386" s="90"/>
      <c r="X386" s="90"/>
      <c r="Y386" s="90"/>
      <c r="Z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120"/>
      <c r="W387" s="90"/>
      <c r="X387" s="90"/>
      <c r="Y387" s="90"/>
      <c r="Z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120"/>
      <c r="W388" s="90"/>
      <c r="X388" s="90"/>
      <c r="Y388" s="90"/>
      <c r="Z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120"/>
      <c r="W389" s="90"/>
      <c r="X389" s="90"/>
      <c r="Y389" s="90"/>
      <c r="Z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120"/>
      <c r="W390" s="90"/>
      <c r="X390" s="90"/>
      <c r="Y390" s="90"/>
      <c r="Z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120"/>
      <c r="W391" s="90"/>
      <c r="X391" s="90"/>
      <c r="Y391" s="90"/>
      <c r="Z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120"/>
      <c r="W392" s="90"/>
      <c r="X392" s="90"/>
      <c r="Y392" s="90"/>
      <c r="Z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120"/>
      <c r="W393" s="90"/>
      <c r="X393" s="90"/>
      <c r="Y393" s="90"/>
      <c r="Z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120"/>
      <c r="W394" s="90"/>
      <c r="X394" s="90"/>
      <c r="Y394" s="90"/>
      <c r="Z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120"/>
      <c r="W395" s="90"/>
      <c r="X395" s="90"/>
      <c r="Y395" s="90"/>
      <c r="Z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120"/>
      <c r="W396" s="90"/>
      <c r="X396" s="90"/>
      <c r="Y396" s="90"/>
      <c r="Z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120"/>
      <c r="W397" s="90"/>
      <c r="X397" s="90"/>
      <c r="Y397" s="90"/>
      <c r="Z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120"/>
      <c r="W398" s="90"/>
      <c r="X398" s="90"/>
      <c r="Y398" s="90"/>
      <c r="Z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120"/>
      <c r="W399" s="90"/>
      <c r="X399" s="90"/>
      <c r="Y399" s="90"/>
      <c r="Z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120"/>
      <c r="W400" s="90"/>
      <c r="X400" s="90"/>
      <c r="Y400" s="90"/>
      <c r="Z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120"/>
      <c r="W401" s="90"/>
      <c r="X401" s="90"/>
      <c r="Y401" s="90"/>
      <c r="Z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120"/>
      <c r="W402" s="90"/>
      <c r="X402" s="90"/>
      <c r="Y402" s="90"/>
      <c r="Z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120"/>
      <c r="W403" s="90"/>
      <c r="X403" s="90"/>
      <c r="Y403" s="90"/>
      <c r="Z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120"/>
      <c r="W404" s="90"/>
      <c r="X404" s="90"/>
      <c r="Y404" s="90"/>
      <c r="Z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120"/>
      <c r="W405" s="90"/>
      <c r="X405" s="90"/>
      <c r="Y405" s="90"/>
      <c r="Z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120"/>
      <c r="W406" s="90"/>
      <c r="X406" s="90"/>
      <c r="Y406" s="90"/>
      <c r="Z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120"/>
      <c r="W407" s="90"/>
      <c r="X407" s="90"/>
      <c r="Y407" s="90"/>
      <c r="Z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120"/>
      <c r="W408" s="90"/>
      <c r="X408" s="90"/>
      <c r="Y408" s="90"/>
      <c r="Z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120"/>
      <c r="W409" s="90"/>
      <c r="X409" s="90"/>
      <c r="Y409" s="90"/>
      <c r="Z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120"/>
      <c r="W410" s="90"/>
      <c r="X410" s="90"/>
      <c r="Y410" s="90"/>
      <c r="Z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120"/>
      <c r="W411" s="90"/>
      <c r="X411" s="90"/>
      <c r="Y411" s="90"/>
      <c r="Z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120"/>
      <c r="W412" s="90"/>
      <c r="X412" s="90"/>
      <c r="Y412" s="90"/>
      <c r="Z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120"/>
      <c r="W413" s="90"/>
      <c r="X413" s="90"/>
      <c r="Y413" s="90"/>
      <c r="Z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120"/>
      <c r="W414" s="90"/>
      <c r="X414" s="90"/>
      <c r="Y414" s="90"/>
      <c r="Z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120"/>
      <c r="W415" s="90"/>
      <c r="X415" s="90"/>
      <c r="Y415" s="90"/>
      <c r="Z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120"/>
      <c r="W416" s="90"/>
      <c r="X416" s="90"/>
      <c r="Y416" s="90"/>
      <c r="Z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120"/>
      <c r="W417" s="90"/>
      <c r="X417" s="90"/>
      <c r="Y417" s="90"/>
      <c r="Z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120"/>
      <c r="W418" s="90"/>
      <c r="X418" s="90"/>
      <c r="Y418" s="90"/>
      <c r="Z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120"/>
      <c r="W419" s="90"/>
      <c r="X419" s="90"/>
      <c r="Y419" s="90"/>
      <c r="Z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120"/>
      <c r="W420" s="90"/>
      <c r="X420" s="90"/>
      <c r="Y420" s="90"/>
      <c r="Z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120"/>
      <c r="W421" s="90"/>
      <c r="X421" s="90"/>
      <c r="Y421" s="90"/>
      <c r="Z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120"/>
      <c r="W422" s="90"/>
      <c r="X422" s="90"/>
      <c r="Y422" s="90"/>
      <c r="Z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120"/>
      <c r="W423" s="90"/>
      <c r="X423" s="90"/>
      <c r="Y423" s="90"/>
      <c r="Z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120"/>
      <c r="W424" s="90"/>
      <c r="X424" s="90"/>
      <c r="Y424" s="90"/>
      <c r="Z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120"/>
      <c r="W425" s="90"/>
      <c r="X425" s="90"/>
      <c r="Y425" s="90"/>
      <c r="Z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120"/>
      <c r="W426" s="90"/>
      <c r="X426" s="90"/>
      <c r="Y426" s="90"/>
      <c r="Z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120"/>
      <c r="W427" s="90"/>
      <c r="X427" s="90"/>
      <c r="Y427" s="90"/>
      <c r="Z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120"/>
      <c r="W428" s="90"/>
      <c r="X428" s="90"/>
      <c r="Y428" s="90"/>
      <c r="Z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120"/>
      <c r="W429" s="90"/>
      <c r="X429" s="90"/>
      <c r="Y429" s="90"/>
      <c r="Z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120"/>
      <c r="W430" s="90"/>
      <c r="X430" s="90"/>
      <c r="Y430" s="90"/>
      <c r="Z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120"/>
      <c r="W431" s="90"/>
      <c r="X431" s="90"/>
      <c r="Y431" s="90"/>
      <c r="Z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120"/>
      <c r="W432" s="90"/>
      <c r="X432" s="90"/>
      <c r="Y432" s="90"/>
      <c r="Z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120"/>
      <c r="W433" s="90"/>
      <c r="X433" s="90"/>
      <c r="Y433" s="90"/>
      <c r="Z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120"/>
      <c r="W434" s="90"/>
      <c r="X434" s="90"/>
      <c r="Y434" s="90"/>
      <c r="Z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120"/>
      <c r="W435" s="90"/>
      <c r="X435" s="90"/>
      <c r="Y435" s="90"/>
      <c r="Z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120"/>
      <c r="W436" s="90"/>
      <c r="X436" s="90"/>
      <c r="Y436" s="90"/>
      <c r="Z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120"/>
      <c r="W437" s="90"/>
      <c r="X437" s="90"/>
      <c r="Y437" s="90"/>
      <c r="Z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120"/>
      <c r="W438" s="90"/>
      <c r="X438" s="90"/>
      <c r="Y438" s="90"/>
      <c r="Z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120"/>
      <c r="W439" s="90"/>
      <c r="X439" s="90"/>
      <c r="Y439" s="90"/>
      <c r="Z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120"/>
      <c r="W440" s="90"/>
      <c r="X440" s="90"/>
      <c r="Y440" s="90"/>
      <c r="Z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120"/>
      <c r="W441" s="90"/>
      <c r="X441" s="90"/>
      <c r="Y441" s="90"/>
      <c r="Z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120"/>
      <c r="W442" s="90"/>
      <c r="X442" s="90"/>
      <c r="Y442" s="90"/>
      <c r="Z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120"/>
      <c r="W443" s="90"/>
      <c r="X443" s="90"/>
      <c r="Y443" s="90"/>
      <c r="Z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120"/>
      <c r="W444" s="90"/>
      <c r="X444" s="90"/>
      <c r="Y444" s="90"/>
      <c r="Z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120"/>
      <c r="W445" s="90"/>
      <c r="X445" s="90"/>
      <c r="Y445" s="90"/>
      <c r="Z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120"/>
      <c r="W446" s="90"/>
      <c r="X446" s="90"/>
      <c r="Y446" s="90"/>
      <c r="Z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120"/>
      <c r="W447" s="90"/>
      <c r="X447" s="90"/>
      <c r="Y447" s="90"/>
      <c r="Z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120"/>
      <c r="W448" s="90"/>
      <c r="X448" s="90"/>
      <c r="Y448" s="90"/>
      <c r="Z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120"/>
      <c r="W449" s="90"/>
      <c r="X449" s="90"/>
      <c r="Y449" s="90"/>
      <c r="Z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120"/>
      <c r="W450" s="90"/>
      <c r="X450" s="90"/>
      <c r="Y450" s="90"/>
      <c r="Z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120"/>
      <c r="W451" s="90"/>
      <c r="X451" s="90"/>
      <c r="Y451" s="90"/>
      <c r="Z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120"/>
      <c r="W452" s="90"/>
      <c r="X452" s="90"/>
      <c r="Y452" s="90"/>
      <c r="Z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120"/>
      <c r="W453" s="90"/>
      <c r="X453" s="90"/>
      <c r="Y453" s="90"/>
      <c r="Z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120"/>
      <c r="W454" s="90"/>
      <c r="X454" s="90"/>
      <c r="Y454" s="90"/>
      <c r="Z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120"/>
      <c r="W455" s="90"/>
      <c r="X455" s="90"/>
      <c r="Y455" s="90"/>
      <c r="Z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120"/>
      <c r="W456" s="90"/>
      <c r="X456" s="90"/>
      <c r="Y456" s="90"/>
      <c r="Z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120"/>
      <c r="W457" s="90"/>
      <c r="X457" s="90"/>
      <c r="Y457" s="90"/>
      <c r="Z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120"/>
      <c r="W458" s="90"/>
      <c r="X458" s="90"/>
      <c r="Y458" s="90"/>
      <c r="Z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120"/>
      <c r="W459" s="90"/>
      <c r="X459" s="90"/>
      <c r="Y459" s="90"/>
      <c r="Z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120"/>
      <c r="W460" s="90"/>
      <c r="X460" s="90"/>
      <c r="Y460" s="90"/>
      <c r="Z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120"/>
      <c r="W461" s="90"/>
      <c r="X461" s="90"/>
      <c r="Y461" s="90"/>
      <c r="Z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120"/>
      <c r="W462" s="90"/>
      <c r="X462" s="90"/>
      <c r="Y462" s="90"/>
      <c r="Z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120"/>
      <c r="W463" s="90"/>
      <c r="X463" s="90"/>
      <c r="Y463" s="90"/>
      <c r="Z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120"/>
      <c r="W464" s="90"/>
      <c r="X464" s="90"/>
      <c r="Y464" s="90"/>
      <c r="Z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120"/>
      <c r="W465" s="90"/>
      <c r="X465" s="90"/>
      <c r="Y465" s="90"/>
      <c r="Z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120"/>
      <c r="W466" s="90"/>
      <c r="X466" s="90"/>
      <c r="Y466" s="90"/>
      <c r="Z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120"/>
      <c r="W467" s="90"/>
      <c r="X467" s="90"/>
      <c r="Y467" s="90"/>
      <c r="Z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120"/>
      <c r="W468" s="90"/>
      <c r="X468" s="90"/>
      <c r="Y468" s="90"/>
      <c r="Z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120"/>
      <c r="W469" s="90"/>
      <c r="X469" s="90"/>
      <c r="Y469" s="90"/>
      <c r="Z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120"/>
      <c r="W470" s="90"/>
      <c r="X470" s="90"/>
      <c r="Y470" s="90"/>
      <c r="Z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120"/>
      <c r="W471" s="90"/>
      <c r="X471" s="90"/>
      <c r="Y471" s="90"/>
      <c r="Z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120"/>
      <c r="W472" s="90"/>
      <c r="X472" s="90"/>
      <c r="Y472" s="90"/>
      <c r="Z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120"/>
      <c r="W473" s="90"/>
      <c r="X473" s="90"/>
      <c r="Y473" s="90"/>
      <c r="Z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120"/>
      <c r="W474" s="90"/>
      <c r="X474" s="90"/>
      <c r="Y474" s="90"/>
      <c r="Z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120"/>
      <c r="W475" s="90"/>
      <c r="X475" s="90"/>
      <c r="Y475" s="90"/>
      <c r="Z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120"/>
      <c r="W476" s="90"/>
      <c r="X476" s="90"/>
      <c r="Y476" s="90"/>
      <c r="Z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120"/>
      <c r="W477" s="90"/>
      <c r="X477" s="90"/>
      <c r="Y477" s="90"/>
      <c r="Z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120"/>
      <c r="W478" s="90"/>
      <c r="X478" s="90"/>
      <c r="Y478" s="90"/>
      <c r="Z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120"/>
      <c r="W479" s="90"/>
      <c r="X479" s="90"/>
      <c r="Y479" s="90"/>
      <c r="Z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120"/>
      <c r="W480" s="90"/>
      <c r="X480" s="90"/>
      <c r="Y480" s="90"/>
      <c r="Z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120"/>
      <c r="W481" s="90"/>
      <c r="X481" s="90"/>
      <c r="Y481" s="90"/>
      <c r="Z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120"/>
      <c r="W482" s="90"/>
      <c r="X482" s="90"/>
      <c r="Y482" s="90"/>
      <c r="Z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120"/>
      <c r="W483" s="90"/>
      <c r="X483" s="90"/>
      <c r="Y483" s="90"/>
      <c r="Z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120"/>
      <c r="W484" s="90"/>
      <c r="X484" s="90"/>
      <c r="Y484" s="90"/>
      <c r="Z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120"/>
      <c r="W485" s="90"/>
      <c r="X485" s="90"/>
      <c r="Y485" s="90"/>
      <c r="Z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120"/>
      <c r="W486" s="90"/>
      <c r="X486" s="90"/>
      <c r="Y486" s="90"/>
      <c r="Z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120"/>
      <c r="W487" s="90"/>
      <c r="X487" s="90"/>
      <c r="Y487" s="90"/>
      <c r="Z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120"/>
      <c r="W488" s="90"/>
      <c r="X488" s="90"/>
      <c r="Y488" s="90"/>
      <c r="Z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120"/>
      <c r="W489" s="90"/>
      <c r="X489" s="90"/>
      <c r="Y489" s="90"/>
      <c r="Z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120"/>
      <c r="W490" s="90"/>
      <c r="X490" s="90"/>
      <c r="Y490" s="90"/>
      <c r="Z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120"/>
      <c r="W491" s="90"/>
      <c r="X491" s="90"/>
      <c r="Y491" s="90"/>
      <c r="Z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120"/>
      <c r="W492" s="90"/>
      <c r="X492" s="90"/>
      <c r="Y492" s="90"/>
      <c r="Z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120"/>
      <c r="W493" s="90"/>
      <c r="X493" s="90"/>
      <c r="Y493" s="90"/>
      <c r="Z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120"/>
      <c r="W494" s="90"/>
      <c r="X494" s="90"/>
      <c r="Y494" s="90"/>
      <c r="Z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120"/>
      <c r="W495" s="90"/>
      <c r="X495" s="90"/>
      <c r="Y495" s="90"/>
      <c r="Z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120"/>
      <c r="W496" s="90"/>
      <c r="X496" s="90"/>
      <c r="Y496" s="90"/>
      <c r="Z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120"/>
      <c r="W497" s="90"/>
      <c r="X497" s="90"/>
      <c r="Y497" s="90"/>
      <c r="Z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120"/>
      <c r="W498" s="90"/>
      <c r="X498" s="90"/>
      <c r="Y498" s="90"/>
      <c r="Z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120"/>
      <c r="W499" s="90"/>
      <c r="X499" s="90"/>
      <c r="Y499" s="90"/>
      <c r="Z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120"/>
      <c r="W500" s="90"/>
      <c r="X500" s="90"/>
      <c r="Y500" s="90"/>
      <c r="Z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120"/>
      <c r="W501" s="90"/>
      <c r="X501" s="90"/>
      <c r="Y501" s="90"/>
      <c r="Z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120"/>
      <c r="W502" s="90"/>
      <c r="X502" s="90"/>
      <c r="Y502" s="90"/>
      <c r="Z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120"/>
      <c r="W503" s="90"/>
      <c r="X503" s="90"/>
      <c r="Y503" s="90"/>
      <c r="Z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120"/>
      <c r="W504" s="90"/>
      <c r="X504" s="90"/>
      <c r="Y504" s="90"/>
      <c r="Z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120"/>
      <c r="W505" s="90"/>
      <c r="X505" s="90"/>
      <c r="Y505" s="90"/>
      <c r="Z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120"/>
      <c r="W506" s="90"/>
      <c r="X506" s="90"/>
      <c r="Y506" s="90"/>
      <c r="Z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120"/>
      <c r="W507" s="90"/>
      <c r="X507" s="90"/>
      <c r="Y507" s="90"/>
      <c r="Z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120"/>
      <c r="W508" s="90"/>
      <c r="X508" s="90"/>
      <c r="Y508" s="90"/>
      <c r="Z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120"/>
      <c r="W509" s="90"/>
      <c r="X509" s="90"/>
      <c r="Y509" s="90"/>
      <c r="Z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120"/>
      <c r="W510" s="90"/>
      <c r="X510" s="90"/>
      <c r="Y510" s="90"/>
      <c r="Z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120"/>
      <c r="W511" s="90"/>
      <c r="X511" s="90"/>
      <c r="Y511" s="90"/>
      <c r="Z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120"/>
      <c r="W512" s="90"/>
      <c r="X512" s="90"/>
      <c r="Y512" s="90"/>
      <c r="Z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120"/>
      <c r="W513" s="90"/>
      <c r="X513" s="90"/>
      <c r="Y513" s="90"/>
      <c r="Z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120"/>
      <c r="W514" s="90"/>
      <c r="X514" s="90"/>
      <c r="Y514" s="90"/>
      <c r="Z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120"/>
      <c r="W515" s="90"/>
      <c r="X515" s="90"/>
      <c r="Y515" s="90"/>
      <c r="Z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120"/>
      <c r="W516" s="90"/>
      <c r="X516" s="90"/>
      <c r="Y516" s="90"/>
      <c r="Z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120"/>
      <c r="W517" s="90"/>
      <c r="X517" s="90"/>
      <c r="Y517" s="90"/>
      <c r="Z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120"/>
      <c r="W518" s="90"/>
      <c r="X518" s="90"/>
      <c r="Y518" s="90"/>
      <c r="Z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120"/>
      <c r="W519" s="90"/>
      <c r="X519" s="90"/>
      <c r="Y519" s="90"/>
      <c r="Z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120"/>
      <c r="W520" s="90"/>
      <c r="X520" s="90"/>
      <c r="Y520" s="90"/>
      <c r="Z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120"/>
      <c r="W521" s="90"/>
      <c r="X521" s="90"/>
      <c r="Y521" s="90"/>
      <c r="Z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120"/>
      <c r="W522" s="90"/>
      <c r="X522" s="90"/>
      <c r="Y522" s="90"/>
      <c r="Z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120"/>
      <c r="W523" s="90"/>
      <c r="X523" s="90"/>
      <c r="Y523" s="90"/>
      <c r="Z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120"/>
      <c r="W524" s="90"/>
      <c r="X524" s="90"/>
      <c r="Y524" s="90"/>
      <c r="Z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120"/>
      <c r="W525" s="90"/>
      <c r="X525" s="90"/>
      <c r="Y525" s="90"/>
      <c r="Z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120"/>
      <c r="W526" s="90"/>
      <c r="X526" s="90"/>
      <c r="Y526" s="90"/>
      <c r="Z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120"/>
      <c r="W527" s="90"/>
      <c r="X527" s="90"/>
      <c r="Y527" s="90"/>
      <c r="Z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120"/>
      <c r="W528" s="90"/>
      <c r="X528" s="90"/>
      <c r="Y528" s="90"/>
      <c r="Z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120"/>
      <c r="W529" s="90"/>
      <c r="X529" s="90"/>
      <c r="Y529" s="90"/>
      <c r="Z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120"/>
      <c r="W530" s="90"/>
      <c r="X530" s="90"/>
      <c r="Y530" s="90"/>
      <c r="Z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120"/>
      <c r="W531" s="90"/>
      <c r="X531" s="90"/>
      <c r="Y531" s="90"/>
      <c r="Z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120"/>
      <c r="W532" s="90"/>
      <c r="X532" s="90"/>
      <c r="Y532" s="90"/>
      <c r="Z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120"/>
      <c r="W533" s="90"/>
      <c r="X533" s="90"/>
      <c r="Y533" s="90"/>
      <c r="Z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120"/>
      <c r="W534" s="90"/>
      <c r="X534" s="90"/>
      <c r="Y534" s="90"/>
      <c r="Z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120"/>
      <c r="W535" s="90"/>
      <c r="X535" s="90"/>
      <c r="Y535" s="90"/>
      <c r="Z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120"/>
      <c r="W536" s="90"/>
      <c r="X536" s="90"/>
      <c r="Y536" s="90"/>
      <c r="Z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120"/>
      <c r="W537" s="90"/>
      <c r="X537" s="90"/>
      <c r="Y537" s="90"/>
      <c r="Z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120"/>
      <c r="W538" s="90"/>
      <c r="X538" s="90"/>
      <c r="Y538" s="90"/>
      <c r="Z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120"/>
      <c r="W539" s="90"/>
      <c r="X539" s="90"/>
      <c r="Y539" s="90"/>
      <c r="Z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120"/>
      <c r="W540" s="90"/>
      <c r="X540" s="90"/>
      <c r="Y540" s="90"/>
      <c r="Z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120"/>
      <c r="W541" s="90"/>
      <c r="X541" s="90"/>
      <c r="Y541" s="90"/>
      <c r="Z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120"/>
      <c r="W542" s="90"/>
      <c r="X542" s="90"/>
      <c r="Y542" s="90"/>
      <c r="Z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120"/>
      <c r="W543" s="90"/>
      <c r="X543" s="90"/>
      <c r="Y543" s="90"/>
      <c r="Z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120"/>
      <c r="W544" s="90"/>
      <c r="X544" s="90"/>
      <c r="Y544" s="90"/>
      <c r="Z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120"/>
      <c r="W545" s="90"/>
      <c r="X545" s="90"/>
      <c r="Y545" s="90"/>
      <c r="Z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120"/>
      <c r="W546" s="90"/>
      <c r="X546" s="90"/>
      <c r="Y546" s="90"/>
      <c r="Z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120"/>
      <c r="W547" s="90"/>
      <c r="X547" s="90"/>
      <c r="Y547" s="90"/>
      <c r="Z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120"/>
      <c r="W548" s="90"/>
      <c r="X548" s="90"/>
      <c r="Y548" s="90"/>
      <c r="Z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120"/>
      <c r="W549" s="90"/>
      <c r="X549" s="90"/>
      <c r="Y549" s="90"/>
      <c r="Z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120"/>
      <c r="W550" s="90"/>
      <c r="X550" s="90"/>
      <c r="Y550" s="90"/>
      <c r="Z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120"/>
      <c r="W551" s="90"/>
      <c r="X551" s="90"/>
      <c r="Y551" s="90"/>
      <c r="Z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120"/>
      <c r="W552" s="90"/>
      <c r="X552" s="90"/>
      <c r="Y552" s="90"/>
      <c r="Z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120"/>
      <c r="W553" s="90"/>
      <c r="X553" s="90"/>
      <c r="Y553" s="90"/>
      <c r="Z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120"/>
      <c r="W554" s="90"/>
      <c r="X554" s="90"/>
      <c r="Y554" s="90"/>
      <c r="Z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120"/>
      <c r="W555" s="90"/>
      <c r="X555" s="90"/>
      <c r="Y555" s="90"/>
      <c r="Z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120"/>
      <c r="W556" s="90"/>
      <c r="X556" s="90"/>
      <c r="Y556" s="90"/>
      <c r="Z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120"/>
      <c r="W557" s="90"/>
      <c r="X557" s="90"/>
      <c r="Y557" s="90"/>
      <c r="Z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120"/>
      <c r="W558" s="90"/>
      <c r="X558" s="90"/>
      <c r="Y558" s="90"/>
      <c r="Z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120"/>
      <c r="W559" s="90"/>
      <c r="X559" s="90"/>
      <c r="Y559" s="90"/>
      <c r="Z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120"/>
      <c r="W560" s="90"/>
      <c r="X560" s="90"/>
      <c r="Y560" s="90"/>
      <c r="Z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120"/>
      <c r="W561" s="90"/>
      <c r="X561" s="90"/>
      <c r="Y561" s="90"/>
      <c r="Z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120"/>
      <c r="W562" s="90"/>
      <c r="X562" s="90"/>
      <c r="Y562" s="90"/>
      <c r="Z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120"/>
      <c r="W563" s="90"/>
      <c r="X563" s="90"/>
      <c r="Y563" s="90"/>
      <c r="Z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120"/>
      <c r="W564" s="90"/>
      <c r="X564" s="90"/>
      <c r="Y564" s="90"/>
      <c r="Z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120"/>
      <c r="W565" s="90"/>
      <c r="X565" s="90"/>
      <c r="Y565" s="90"/>
      <c r="Z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120"/>
      <c r="W566" s="90"/>
      <c r="X566" s="90"/>
      <c r="Y566" s="90"/>
      <c r="Z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120"/>
      <c r="W567" s="90"/>
      <c r="X567" s="90"/>
      <c r="Y567" s="90"/>
      <c r="Z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120"/>
      <c r="W568" s="90"/>
      <c r="X568" s="90"/>
      <c r="Y568" s="90"/>
      <c r="Z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120"/>
      <c r="W569" s="90"/>
      <c r="X569" s="90"/>
      <c r="Y569" s="90"/>
      <c r="Z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120"/>
      <c r="W570" s="90"/>
      <c r="X570" s="90"/>
      <c r="Y570" s="90"/>
      <c r="Z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120"/>
      <c r="W571" s="90"/>
      <c r="X571" s="90"/>
      <c r="Y571" s="90"/>
      <c r="Z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120"/>
      <c r="W572" s="90"/>
      <c r="X572" s="90"/>
      <c r="Y572" s="90"/>
      <c r="Z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120"/>
      <c r="W573" s="90"/>
      <c r="X573" s="90"/>
      <c r="Y573" s="90"/>
      <c r="Z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120"/>
      <c r="W574" s="90"/>
      <c r="X574" s="90"/>
      <c r="Y574" s="90"/>
      <c r="Z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120"/>
      <c r="W575" s="90"/>
      <c r="X575" s="90"/>
      <c r="Y575" s="90"/>
      <c r="Z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120"/>
      <c r="W576" s="90"/>
      <c r="X576" s="90"/>
      <c r="Y576" s="90"/>
      <c r="Z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120"/>
      <c r="W577" s="90"/>
      <c r="X577" s="90"/>
      <c r="Y577" s="90"/>
      <c r="Z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120"/>
      <c r="W578" s="90"/>
      <c r="X578" s="90"/>
      <c r="Y578" s="90"/>
      <c r="Z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120"/>
      <c r="W579" s="90"/>
      <c r="X579" s="90"/>
      <c r="Y579" s="90"/>
      <c r="Z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120"/>
      <c r="W580" s="90"/>
      <c r="X580" s="90"/>
      <c r="Y580" s="90"/>
      <c r="Z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120"/>
      <c r="W581" s="90"/>
      <c r="X581" s="90"/>
      <c r="Y581" s="90"/>
      <c r="Z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120"/>
      <c r="W582" s="90"/>
      <c r="X582" s="90"/>
      <c r="Y582" s="90"/>
      <c r="Z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120"/>
      <c r="W583" s="90"/>
      <c r="X583" s="90"/>
      <c r="Y583" s="90"/>
      <c r="Z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120"/>
      <c r="W584" s="90"/>
      <c r="X584" s="90"/>
      <c r="Y584" s="90"/>
      <c r="Z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120"/>
      <c r="W585" s="90"/>
      <c r="X585" s="90"/>
      <c r="Y585" s="90"/>
      <c r="Z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120"/>
      <c r="W586" s="90"/>
      <c r="X586" s="90"/>
      <c r="Y586" s="90"/>
      <c r="Z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120"/>
      <c r="W587" s="90"/>
      <c r="X587" s="90"/>
      <c r="Y587" s="90"/>
      <c r="Z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120"/>
      <c r="W588" s="90"/>
      <c r="X588" s="90"/>
      <c r="Y588" s="90"/>
      <c r="Z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120"/>
      <c r="W589" s="90"/>
      <c r="X589" s="90"/>
      <c r="Y589" s="90"/>
      <c r="Z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120"/>
      <c r="W590" s="90"/>
      <c r="X590" s="90"/>
      <c r="Y590" s="90"/>
      <c r="Z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120"/>
      <c r="W591" s="90"/>
      <c r="X591" s="90"/>
      <c r="Y591" s="90"/>
      <c r="Z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120"/>
      <c r="W592" s="90"/>
      <c r="X592" s="90"/>
      <c r="Y592" s="90"/>
      <c r="Z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120"/>
      <c r="W593" s="90"/>
      <c r="X593" s="90"/>
      <c r="Y593" s="90"/>
      <c r="Z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120"/>
      <c r="W594" s="90"/>
      <c r="X594" s="90"/>
      <c r="Y594" s="90"/>
      <c r="Z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120"/>
      <c r="W595" s="90"/>
      <c r="X595" s="90"/>
      <c r="Y595" s="90"/>
      <c r="Z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120"/>
      <c r="W596" s="90"/>
      <c r="X596" s="90"/>
      <c r="Y596" s="90"/>
      <c r="Z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120"/>
      <c r="W597" s="90"/>
      <c r="X597" s="90"/>
      <c r="Y597" s="90"/>
      <c r="Z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120"/>
      <c r="W598" s="90"/>
      <c r="X598" s="90"/>
      <c r="Y598" s="90"/>
      <c r="Z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120"/>
      <c r="W599" s="90"/>
      <c r="X599" s="90"/>
      <c r="Y599" s="90"/>
      <c r="Z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120"/>
      <c r="W600" s="90"/>
      <c r="X600" s="90"/>
      <c r="Y600" s="90"/>
      <c r="Z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120"/>
      <c r="W601" s="90"/>
      <c r="X601" s="90"/>
      <c r="Y601" s="90"/>
      <c r="Z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120"/>
      <c r="W602" s="90"/>
      <c r="X602" s="90"/>
      <c r="Y602" s="90"/>
      <c r="Z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120"/>
      <c r="W603" s="90"/>
      <c r="X603" s="90"/>
      <c r="Y603" s="90"/>
      <c r="Z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120"/>
      <c r="W604" s="90"/>
      <c r="X604" s="90"/>
      <c r="Y604" s="90"/>
      <c r="Z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120"/>
      <c r="W605" s="90"/>
      <c r="X605" s="90"/>
      <c r="Y605" s="90"/>
      <c r="Z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120"/>
      <c r="W606" s="90"/>
      <c r="X606" s="90"/>
      <c r="Y606" s="90"/>
      <c r="Z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120"/>
      <c r="W607" s="90"/>
      <c r="X607" s="90"/>
      <c r="Y607" s="90"/>
      <c r="Z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120"/>
      <c r="W608" s="90"/>
      <c r="X608" s="90"/>
      <c r="Y608" s="90"/>
      <c r="Z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120"/>
      <c r="W609" s="90"/>
      <c r="X609" s="90"/>
      <c r="Y609" s="90"/>
      <c r="Z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120"/>
      <c r="W610" s="90"/>
      <c r="X610" s="90"/>
      <c r="Y610" s="90"/>
      <c r="Z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120"/>
      <c r="W611" s="90"/>
      <c r="X611" s="90"/>
      <c r="Y611" s="90"/>
      <c r="Z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120"/>
      <c r="W612" s="90"/>
      <c r="X612" s="90"/>
      <c r="Y612" s="90"/>
      <c r="Z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120"/>
      <c r="W613" s="90"/>
      <c r="X613" s="90"/>
      <c r="Y613" s="90"/>
      <c r="Z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120"/>
      <c r="W614" s="90"/>
      <c r="X614" s="90"/>
      <c r="Y614" s="90"/>
      <c r="Z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120"/>
      <c r="W615" s="90"/>
      <c r="X615" s="90"/>
      <c r="Y615" s="90"/>
      <c r="Z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120"/>
      <c r="W616" s="90"/>
      <c r="X616" s="90"/>
      <c r="Y616" s="90"/>
      <c r="Z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120"/>
      <c r="W617" s="90"/>
      <c r="X617" s="90"/>
      <c r="Y617" s="90"/>
      <c r="Z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120"/>
      <c r="W618" s="90"/>
      <c r="X618" s="90"/>
      <c r="Y618" s="90"/>
      <c r="Z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120"/>
      <c r="W619" s="90"/>
      <c r="X619" s="90"/>
      <c r="Y619" s="90"/>
      <c r="Z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120"/>
      <c r="W620" s="90"/>
      <c r="X620" s="90"/>
      <c r="Y620" s="90"/>
      <c r="Z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120"/>
      <c r="W621" s="90"/>
      <c r="X621" s="90"/>
      <c r="Y621" s="90"/>
      <c r="Z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120"/>
      <c r="W622" s="90"/>
      <c r="X622" s="90"/>
      <c r="Y622" s="90"/>
      <c r="Z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120"/>
      <c r="W623" s="90"/>
      <c r="X623" s="90"/>
      <c r="Y623" s="90"/>
      <c r="Z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120"/>
      <c r="W624" s="90"/>
      <c r="X624" s="90"/>
      <c r="Y624" s="90"/>
      <c r="Z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120"/>
      <c r="W625" s="90"/>
      <c r="X625" s="90"/>
      <c r="Y625" s="90"/>
      <c r="Z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120"/>
      <c r="W626" s="90"/>
      <c r="X626" s="90"/>
      <c r="Y626" s="90"/>
      <c r="Z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120"/>
      <c r="W627" s="90"/>
      <c r="X627" s="90"/>
      <c r="Y627" s="90"/>
      <c r="Z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120"/>
      <c r="W628" s="90"/>
      <c r="X628" s="90"/>
      <c r="Y628" s="90"/>
      <c r="Z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120"/>
      <c r="W629" s="90"/>
      <c r="X629" s="90"/>
      <c r="Y629" s="90"/>
      <c r="Z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120"/>
      <c r="W630" s="90"/>
      <c r="X630" s="90"/>
      <c r="Y630" s="90"/>
      <c r="Z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120"/>
      <c r="W631" s="90"/>
      <c r="X631" s="90"/>
      <c r="Y631" s="90"/>
      <c r="Z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120"/>
      <c r="W632" s="90"/>
      <c r="X632" s="90"/>
      <c r="Y632" s="90"/>
      <c r="Z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120"/>
      <c r="W633" s="90"/>
      <c r="X633" s="90"/>
      <c r="Y633" s="90"/>
      <c r="Z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120"/>
      <c r="W634" s="90"/>
      <c r="X634" s="90"/>
      <c r="Y634" s="90"/>
      <c r="Z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120"/>
      <c r="W635" s="90"/>
      <c r="X635" s="90"/>
      <c r="Y635" s="90"/>
      <c r="Z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120"/>
      <c r="W636" s="90"/>
      <c r="X636" s="90"/>
      <c r="Y636" s="90"/>
      <c r="Z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120"/>
      <c r="W637" s="90"/>
      <c r="X637" s="90"/>
      <c r="Y637" s="90"/>
      <c r="Z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120"/>
      <c r="W638" s="90"/>
      <c r="X638" s="90"/>
      <c r="Y638" s="90"/>
      <c r="Z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120"/>
      <c r="W639" s="90"/>
      <c r="X639" s="90"/>
      <c r="Y639" s="90"/>
      <c r="Z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120"/>
      <c r="W640" s="90"/>
      <c r="X640" s="90"/>
      <c r="Y640" s="90"/>
      <c r="Z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120"/>
      <c r="W641" s="90"/>
      <c r="X641" s="90"/>
      <c r="Y641" s="90"/>
      <c r="Z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120"/>
      <c r="W642" s="90"/>
      <c r="X642" s="90"/>
      <c r="Y642" s="90"/>
      <c r="Z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120"/>
      <c r="W643" s="90"/>
      <c r="X643" s="90"/>
      <c r="Y643" s="90"/>
      <c r="Z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120"/>
      <c r="W644" s="90"/>
      <c r="X644" s="90"/>
      <c r="Y644" s="90"/>
      <c r="Z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120"/>
      <c r="W645" s="90"/>
      <c r="X645" s="90"/>
      <c r="Y645" s="90"/>
      <c r="Z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120"/>
      <c r="W646" s="90"/>
      <c r="X646" s="90"/>
      <c r="Y646" s="90"/>
      <c r="Z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120"/>
      <c r="W647" s="90"/>
      <c r="X647" s="90"/>
      <c r="Y647" s="90"/>
      <c r="Z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120"/>
      <c r="W648" s="90"/>
      <c r="X648" s="90"/>
      <c r="Y648" s="90"/>
      <c r="Z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120"/>
      <c r="W649" s="90"/>
      <c r="X649" s="90"/>
      <c r="Y649" s="90"/>
      <c r="Z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120"/>
      <c r="W650" s="90"/>
      <c r="X650" s="90"/>
      <c r="Y650" s="90"/>
      <c r="Z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120"/>
      <c r="W651" s="90"/>
      <c r="X651" s="90"/>
      <c r="Y651" s="90"/>
      <c r="Z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120"/>
      <c r="W652" s="90"/>
      <c r="X652" s="90"/>
      <c r="Y652" s="90"/>
      <c r="Z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120"/>
      <c r="W653" s="90"/>
      <c r="X653" s="90"/>
      <c r="Y653" s="90"/>
      <c r="Z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120"/>
      <c r="W654" s="90"/>
      <c r="X654" s="90"/>
      <c r="Y654" s="90"/>
      <c r="Z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120"/>
      <c r="W655" s="90"/>
      <c r="X655" s="90"/>
      <c r="Y655" s="90"/>
      <c r="Z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120"/>
      <c r="W656" s="90"/>
      <c r="X656" s="90"/>
      <c r="Y656" s="90"/>
      <c r="Z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120"/>
      <c r="W657" s="90"/>
      <c r="X657" s="90"/>
      <c r="Y657" s="90"/>
      <c r="Z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120"/>
      <c r="W658" s="90"/>
      <c r="X658" s="90"/>
      <c r="Y658" s="90"/>
      <c r="Z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120"/>
      <c r="W659" s="90"/>
      <c r="X659" s="90"/>
      <c r="Y659" s="90"/>
      <c r="Z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120"/>
      <c r="W660" s="90"/>
      <c r="X660" s="90"/>
      <c r="Y660" s="90"/>
      <c r="Z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120"/>
      <c r="W661" s="90"/>
      <c r="X661" s="90"/>
      <c r="Y661" s="90"/>
      <c r="Z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120"/>
      <c r="W662" s="90"/>
      <c r="X662" s="90"/>
      <c r="Y662" s="90"/>
      <c r="Z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120"/>
      <c r="W663" s="90"/>
      <c r="X663" s="90"/>
      <c r="Y663" s="90"/>
      <c r="Z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120"/>
      <c r="W664" s="90"/>
      <c r="X664" s="90"/>
      <c r="Y664" s="90"/>
      <c r="Z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120"/>
      <c r="W665" s="90"/>
      <c r="X665" s="90"/>
      <c r="Y665" s="90"/>
      <c r="Z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120"/>
      <c r="W666" s="90"/>
      <c r="X666" s="90"/>
      <c r="Y666" s="90"/>
      <c r="Z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120"/>
      <c r="W667" s="90"/>
      <c r="X667" s="90"/>
      <c r="Y667" s="90"/>
      <c r="Z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120"/>
      <c r="W668" s="90"/>
      <c r="X668" s="90"/>
      <c r="Y668" s="90"/>
      <c r="Z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120"/>
      <c r="W669" s="90"/>
      <c r="X669" s="90"/>
      <c r="Y669" s="90"/>
      <c r="Z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120"/>
      <c r="W670" s="90"/>
      <c r="X670" s="90"/>
      <c r="Y670" s="90"/>
      <c r="Z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120"/>
      <c r="W671" s="90"/>
      <c r="X671" s="90"/>
      <c r="Y671" s="90"/>
      <c r="Z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120"/>
      <c r="W672" s="90"/>
      <c r="X672" s="90"/>
      <c r="Y672" s="90"/>
      <c r="Z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120"/>
      <c r="W673" s="90"/>
      <c r="X673" s="90"/>
      <c r="Y673" s="90"/>
      <c r="Z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120"/>
      <c r="W674" s="90"/>
      <c r="X674" s="90"/>
      <c r="Y674" s="90"/>
      <c r="Z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120"/>
      <c r="W675" s="90"/>
      <c r="X675" s="90"/>
      <c r="Y675" s="90"/>
      <c r="Z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120"/>
      <c r="W676" s="90"/>
      <c r="X676" s="90"/>
      <c r="Y676" s="90"/>
      <c r="Z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120"/>
      <c r="W677" s="90"/>
      <c r="X677" s="90"/>
      <c r="Y677" s="90"/>
      <c r="Z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120"/>
      <c r="W678" s="90"/>
      <c r="X678" s="90"/>
      <c r="Y678" s="90"/>
      <c r="Z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120"/>
      <c r="W679" s="90"/>
      <c r="X679" s="90"/>
      <c r="Y679" s="90"/>
      <c r="Z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120"/>
      <c r="W680" s="90"/>
      <c r="X680" s="90"/>
      <c r="Y680" s="90"/>
      <c r="Z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120"/>
      <c r="W681" s="90"/>
      <c r="X681" s="90"/>
      <c r="Y681" s="90"/>
      <c r="Z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120"/>
      <c r="W682" s="90"/>
      <c r="X682" s="90"/>
      <c r="Y682" s="90"/>
      <c r="Z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120"/>
      <c r="W683" s="90"/>
      <c r="X683" s="90"/>
      <c r="Y683" s="90"/>
      <c r="Z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120"/>
      <c r="W684" s="90"/>
      <c r="X684" s="90"/>
      <c r="Y684" s="90"/>
      <c r="Z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120"/>
      <c r="W685" s="90"/>
      <c r="X685" s="90"/>
      <c r="Y685" s="90"/>
      <c r="Z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120"/>
      <c r="W686" s="90"/>
      <c r="X686" s="90"/>
      <c r="Y686" s="90"/>
      <c r="Z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120"/>
      <c r="W687" s="90"/>
      <c r="X687" s="90"/>
      <c r="Y687" s="90"/>
      <c r="Z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120"/>
      <c r="W688" s="90"/>
      <c r="X688" s="90"/>
      <c r="Y688" s="90"/>
      <c r="Z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120"/>
      <c r="W689" s="90"/>
      <c r="X689" s="90"/>
      <c r="Y689" s="90"/>
      <c r="Z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120"/>
      <c r="W690" s="90"/>
      <c r="X690" s="90"/>
      <c r="Y690" s="90"/>
      <c r="Z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120"/>
      <c r="W691" s="90"/>
      <c r="X691" s="90"/>
      <c r="Y691" s="90"/>
      <c r="Z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120"/>
      <c r="W692" s="90"/>
      <c r="X692" s="90"/>
      <c r="Y692" s="90"/>
      <c r="Z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120"/>
      <c r="W693" s="90"/>
      <c r="X693" s="90"/>
      <c r="Y693" s="90"/>
      <c r="Z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120"/>
      <c r="W694" s="90"/>
      <c r="X694" s="90"/>
      <c r="Y694" s="90"/>
      <c r="Z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120"/>
      <c r="W695" s="90"/>
      <c r="X695" s="90"/>
      <c r="Y695" s="90"/>
      <c r="Z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120"/>
      <c r="W696" s="90"/>
      <c r="X696" s="90"/>
      <c r="Y696" s="90"/>
      <c r="Z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120"/>
      <c r="W697" s="90"/>
      <c r="X697" s="90"/>
      <c r="Y697" s="90"/>
      <c r="Z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120"/>
      <c r="W698" s="90"/>
      <c r="X698" s="90"/>
      <c r="Y698" s="90"/>
      <c r="Z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120"/>
      <c r="W699" s="90"/>
      <c r="X699" s="90"/>
      <c r="Y699" s="90"/>
      <c r="Z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120"/>
      <c r="W700" s="90"/>
      <c r="X700" s="90"/>
      <c r="Y700" s="90"/>
      <c r="Z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120"/>
      <c r="W701" s="90"/>
      <c r="X701" s="90"/>
      <c r="Y701" s="90"/>
      <c r="Z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120"/>
      <c r="W702" s="90"/>
      <c r="X702" s="90"/>
      <c r="Y702" s="90"/>
      <c r="Z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120"/>
      <c r="W703" s="90"/>
      <c r="X703" s="90"/>
      <c r="Y703" s="90"/>
      <c r="Z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120"/>
      <c r="W704" s="90"/>
      <c r="X704" s="90"/>
      <c r="Y704" s="90"/>
      <c r="Z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120"/>
      <c r="W705" s="90"/>
      <c r="X705" s="90"/>
      <c r="Y705" s="90"/>
      <c r="Z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120"/>
      <c r="W706" s="90"/>
      <c r="X706" s="90"/>
      <c r="Y706" s="90"/>
      <c r="Z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120"/>
      <c r="W707" s="90"/>
      <c r="X707" s="90"/>
      <c r="Y707" s="90"/>
      <c r="Z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120"/>
      <c r="W708" s="90"/>
      <c r="X708" s="90"/>
      <c r="Y708" s="90"/>
      <c r="Z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120"/>
      <c r="W709" s="90"/>
      <c r="X709" s="90"/>
      <c r="Y709" s="90"/>
      <c r="Z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120"/>
      <c r="W710" s="90"/>
      <c r="X710" s="90"/>
      <c r="Y710" s="90"/>
      <c r="Z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120"/>
      <c r="W711" s="90"/>
      <c r="X711" s="90"/>
      <c r="Y711" s="90"/>
      <c r="Z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120"/>
      <c r="W712" s="90"/>
      <c r="X712" s="90"/>
      <c r="Y712" s="90"/>
      <c r="Z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120"/>
      <c r="W713" s="90"/>
      <c r="X713" s="90"/>
      <c r="Y713" s="90"/>
      <c r="Z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120"/>
      <c r="W714" s="90"/>
      <c r="X714" s="90"/>
      <c r="Y714" s="90"/>
      <c r="Z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120"/>
      <c r="W715" s="90"/>
      <c r="X715" s="90"/>
      <c r="Y715" s="90"/>
      <c r="Z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120"/>
      <c r="W716" s="90"/>
      <c r="X716" s="90"/>
      <c r="Y716" s="90"/>
      <c r="Z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120"/>
      <c r="W717" s="90"/>
      <c r="X717" s="90"/>
      <c r="Y717" s="90"/>
      <c r="Z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120"/>
      <c r="W718" s="90"/>
      <c r="X718" s="90"/>
      <c r="Y718" s="90"/>
      <c r="Z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120"/>
      <c r="W719" s="90"/>
      <c r="X719" s="90"/>
      <c r="Y719" s="90"/>
      <c r="Z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120"/>
      <c r="W720" s="90"/>
      <c r="X720" s="90"/>
      <c r="Y720" s="90"/>
      <c r="Z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120"/>
      <c r="W721" s="90"/>
      <c r="X721" s="90"/>
      <c r="Y721" s="90"/>
      <c r="Z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120"/>
      <c r="W722" s="90"/>
      <c r="X722" s="90"/>
      <c r="Y722" s="90"/>
      <c r="Z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120"/>
      <c r="W723" s="90"/>
      <c r="X723" s="90"/>
      <c r="Y723" s="90"/>
      <c r="Z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120"/>
      <c r="W724" s="90"/>
      <c r="X724" s="90"/>
      <c r="Y724" s="90"/>
      <c r="Z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120"/>
      <c r="W725" s="90"/>
      <c r="X725" s="90"/>
      <c r="Y725" s="90"/>
      <c r="Z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120"/>
      <c r="W726" s="90"/>
      <c r="X726" s="90"/>
      <c r="Y726" s="90"/>
      <c r="Z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120"/>
      <c r="W727" s="90"/>
      <c r="X727" s="90"/>
      <c r="Y727" s="90"/>
      <c r="Z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120"/>
      <c r="W728" s="90"/>
      <c r="X728" s="90"/>
      <c r="Y728" s="90"/>
      <c r="Z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120"/>
      <c r="W729" s="90"/>
      <c r="X729" s="90"/>
      <c r="Y729" s="90"/>
      <c r="Z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120"/>
      <c r="W730" s="90"/>
      <c r="X730" s="90"/>
      <c r="Y730" s="90"/>
      <c r="Z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120"/>
      <c r="W731" s="90"/>
      <c r="X731" s="90"/>
      <c r="Y731" s="90"/>
      <c r="Z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120"/>
      <c r="W732" s="90"/>
      <c r="X732" s="90"/>
      <c r="Y732" s="90"/>
      <c r="Z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120"/>
      <c r="W733" s="90"/>
      <c r="X733" s="90"/>
      <c r="Y733" s="90"/>
      <c r="Z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120"/>
      <c r="W734" s="90"/>
      <c r="X734" s="90"/>
      <c r="Y734" s="90"/>
      <c r="Z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120"/>
      <c r="W735" s="90"/>
      <c r="X735" s="90"/>
      <c r="Y735" s="90"/>
      <c r="Z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120"/>
      <c r="W736" s="90"/>
      <c r="X736" s="90"/>
      <c r="Y736" s="90"/>
      <c r="Z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120"/>
      <c r="W737" s="90"/>
      <c r="X737" s="90"/>
      <c r="Y737" s="90"/>
      <c r="Z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120"/>
      <c r="W738" s="90"/>
      <c r="X738" s="90"/>
      <c r="Y738" s="90"/>
      <c r="Z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120"/>
      <c r="W739" s="90"/>
      <c r="X739" s="90"/>
      <c r="Y739" s="90"/>
      <c r="Z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120"/>
      <c r="W740" s="90"/>
      <c r="X740" s="90"/>
      <c r="Y740" s="90"/>
      <c r="Z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120"/>
      <c r="W741" s="90"/>
      <c r="X741" s="90"/>
      <c r="Y741" s="90"/>
      <c r="Z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120"/>
      <c r="W742" s="90"/>
      <c r="X742" s="90"/>
      <c r="Y742" s="90"/>
      <c r="Z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120"/>
      <c r="W743" s="90"/>
      <c r="X743" s="90"/>
      <c r="Y743" s="90"/>
      <c r="Z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120"/>
      <c r="W744" s="90"/>
      <c r="X744" s="90"/>
      <c r="Y744" s="90"/>
      <c r="Z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120"/>
      <c r="W745" s="90"/>
      <c r="X745" s="90"/>
      <c r="Y745" s="90"/>
      <c r="Z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120"/>
      <c r="W746" s="90"/>
      <c r="X746" s="90"/>
      <c r="Y746" s="90"/>
      <c r="Z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120"/>
      <c r="W747" s="90"/>
      <c r="X747" s="90"/>
      <c r="Y747" s="90"/>
      <c r="Z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120"/>
      <c r="W748" s="90"/>
      <c r="X748" s="90"/>
      <c r="Y748" s="90"/>
      <c r="Z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120"/>
      <c r="W749" s="90"/>
      <c r="X749" s="90"/>
      <c r="Y749" s="90"/>
      <c r="Z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120"/>
      <c r="W750" s="90"/>
      <c r="X750" s="90"/>
      <c r="Y750" s="90"/>
      <c r="Z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120"/>
      <c r="W751" s="90"/>
      <c r="X751" s="90"/>
      <c r="Y751" s="90"/>
      <c r="Z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120"/>
      <c r="W752" s="90"/>
      <c r="X752" s="90"/>
      <c r="Y752" s="90"/>
      <c r="Z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120"/>
      <c r="W753" s="90"/>
      <c r="X753" s="90"/>
      <c r="Y753" s="90"/>
      <c r="Z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120"/>
      <c r="W754" s="90"/>
      <c r="X754" s="90"/>
      <c r="Y754" s="90"/>
      <c r="Z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120"/>
      <c r="W755" s="90"/>
      <c r="X755" s="90"/>
      <c r="Y755" s="90"/>
      <c r="Z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120"/>
      <c r="W756" s="90"/>
      <c r="X756" s="90"/>
      <c r="Y756" s="90"/>
      <c r="Z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120"/>
      <c r="W757" s="90"/>
      <c r="X757" s="90"/>
      <c r="Y757" s="90"/>
      <c r="Z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120"/>
      <c r="W758" s="90"/>
      <c r="X758" s="90"/>
      <c r="Y758" s="90"/>
      <c r="Z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120"/>
      <c r="W759" s="90"/>
      <c r="X759" s="90"/>
      <c r="Y759" s="90"/>
      <c r="Z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120"/>
      <c r="W760" s="90"/>
      <c r="X760" s="90"/>
      <c r="Y760" s="90"/>
      <c r="Z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120"/>
      <c r="W761" s="90"/>
      <c r="X761" s="90"/>
      <c r="Y761" s="90"/>
      <c r="Z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120"/>
      <c r="W762" s="90"/>
      <c r="X762" s="90"/>
      <c r="Y762" s="90"/>
      <c r="Z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120"/>
      <c r="W763" s="90"/>
      <c r="X763" s="90"/>
      <c r="Y763" s="90"/>
      <c r="Z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120"/>
      <c r="W764" s="90"/>
      <c r="X764" s="90"/>
      <c r="Y764" s="90"/>
      <c r="Z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120"/>
      <c r="W765" s="90"/>
      <c r="X765" s="90"/>
      <c r="Y765" s="90"/>
      <c r="Z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120"/>
      <c r="W766" s="90"/>
      <c r="X766" s="90"/>
      <c r="Y766" s="90"/>
      <c r="Z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120"/>
      <c r="W767" s="90"/>
      <c r="X767" s="90"/>
      <c r="Y767" s="90"/>
      <c r="Z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120"/>
      <c r="W768" s="90"/>
      <c r="X768" s="90"/>
      <c r="Y768" s="90"/>
      <c r="Z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120"/>
      <c r="W769" s="90"/>
      <c r="X769" s="90"/>
      <c r="Y769" s="90"/>
      <c r="Z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120"/>
      <c r="W770" s="90"/>
      <c r="X770" s="90"/>
      <c r="Y770" s="90"/>
      <c r="Z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120"/>
      <c r="W771" s="90"/>
      <c r="X771" s="90"/>
      <c r="Y771" s="90"/>
      <c r="Z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120"/>
      <c r="W772" s="90"/>
      <c r="X772" s="90"/>
      <c r="Y772" s="90"/>
      <c r="Z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120"/>
      <c r="W773" s="90"/>
      <c r="X773" s="90"/>
      <c r="Y773" s="90"/>
      <c r="Z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120"/>
      <c r="W774" s="90"/>
      <c r="X774" s="90"/>
      <c r="Y774" s="90"/>
      <c r="Z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120"/>
      <c r="W775" s="90"/>
      <c r="X775" s="90"/>
      <c r="Y775" s="90"/>
      <c r="Z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120"/>
      <c r="W776" s="90"/>
      <c r="X776" s="90"/>
      <c r="Y776" s="90"/>
      <c r="Z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120"/>
      <c r="W777" s="90"/>
      <c r="X777" s="90"/>
      <c r="Y777" s="90"/>
      <c r="Z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120"/>
      <c r="W778" s="90"/>
      <c r="X778" s="90"/>
      <c r="Y778" s="90"/>
      <c r="Z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120"/>
      <c r="W779" s="90"/>
      <c r="X779" s="90"/>
      <c r="Y779" s="90"/>
      <c r="Z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120"/>
      <c r="W780" s="90"/>
      <c r="X780" s="90"/>
      <c r="Y780" s="90"/>
      <c r="Z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120"/>
      <c r="W781" s="90"/>
      <c r="X781" s="90"/>
      <c r="Y781" s="90"/>
      <c r="Z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120"/>
      <c r="W782" s="90"/>
      <c r="X782" s="90"/>
      <c r="Y782" s="90"/>
      <c r="Z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120"/>
      <c r="W783" s="90"/>
      <c r="X783" s="90"/>
      <c r="Y783" s="90"/>
      <c r="Z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120"/>
      <c r="W784" s="90"/>
      <c r="X784" s="90"/>
      <c r="Y784" s="90"/>
      <c r="Z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120"/>
      <c r="W785" s="90"/>
      <c r="X785" s="90"/>
      <c r="Y785" s="90"/>
      <c r="Z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120"/>
      <c r="W786" s="90"/>
      <c r="X786" s="90"/>
      <c r="Y786" s="90"/>
      <c r="Z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120"/>
      <c r="W787" s="90"/>
      <c r="X787" s="90"/>
      <c r="Y787" s="90"/>
      <c r="Z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120"/>
      <c r="W788" s="90"/>
      <c r="X788" s="90"/>
      <c r="Y788" s="90"/>
      <c r="Z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120"/>
      <c r="W789" s="90"/>
      <c r="X789" s="90"/>
      <c r="Y789" s="90"/>
      <c r="Z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120"/>
      <c r="W790" s="90"/>
      <c r="X790" s="90"/>
      <c r="Y790" s="90"/>
      <c r="Z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120"/>
      <c r="W791" s="90"/>
      <c r="X791" s="90"/>
      <c r="Y791" s="90"/>
      <c r="Z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120"/>
      <c r="W792" s="90"/>
      <c r="X792" s="90"/>
      <c r="Y792" s="90"/>
      <c r="Z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120"/>
      <c r="W793" s="90"/>
      <c r="X793" s="90"/>
      <c r="Y793" s="90"/>
      <c r="Z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120"/>
      <c r="W794" s="90"/>
      <c r="X794" s="90"/>
      <c r="Y794" s="90"/>
      <c r="Z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120"/>
      <c r="W795" s="90"/>
      <c r="X795" s="90"/>
      <c r="Y795" s="90"/>
      <c r="Z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120"/>
      <c r="W796" s="90"/>
      <c r="X796" s="90"/>
      <c r="Y796" s="90"/>
      <c r="Z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120"/>
      <c r="W797" s="90"/>
      <c r="X797" s="90"/>
      <c r="Y797" s="90"/>
      <c r="Z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120"/>
      <c r="W798" s="90"/>
      <c r="X798" s="90"/>
      <c r="Y798" s="90"/>
      <c r="Z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120"/>
      <c r="W799" s="90"/>
      <c r="X799" s="90"/>
      <c r="Y799" s="90"/>
      <c r="Z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120"/>
      <c r="W800" s="90"/>
      <c r="X800" s="90"/>
      <c r="Y800" s="90"/>
      <c r="Z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120"/>
      <c r="W801" s="90"/>
      <c r="X801" s="90"/>
      <c r="Y801" s="90"/>
      <c r="Z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120"/>
      <c r="W802" s="90"/>
      <c r="X802" s="90"/>
      <c r="Y802" s="90"/>
      <c r="Z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120"/>
      <c r="W803" s="90"/>
      <c r="X803" s="90"/>
      <c r="Y803" s="90"/>
      <c r="Z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120"/>
      <c r="W804" s="90"/>
      <c r="X804" s="90"/>
      <c r="Y804" s="90"/>
      <c r="Z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120"/>
      <c r="W805" s="90"/>
      <c r="X805" s="90"/>
      <c r="Y805" s="90"/>
      <c r="Z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120"/>
      <c r="W806" s="90"/>
      <c r="X806" s="90"/>
      <c r="Y806" s="90"/>
      <c r="Z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120"/>
      <c r="W807" s="90"/>
      <c r="X807" s="90"/>
      <c r="Y807" s="90"/>
      <c r="Z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120"/>
      <c r="W808" s="90"/>
      <c r="X808" s="90"/>
      <c r="Y808" s="90"/>
      <c r="Z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120"/>
      <c r="W809" s="90"/>
      <c r="X809" s="90"/>
      <c r="Y809" s="90"/>
      <c r="Z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120"/>
      <c r="W810" s="90"/>
      <c r="X810" s="90"/>
      <c r="Y810" s="90"/>
      <c r="Z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120"/>
      <c r="W811" s="90"/>
      <c r="X811" s="90"/>
      <c r="Y811" s="90"/>
      <c r="Z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120"/>
      <c r="W812" s="90"/>
      <c r="X812" s="90"/>
      <c r="Y812" s="90"/>
      <c r="Z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120"/>
      <c r="W813" s="90"/>
      <c r="X813" s="90"/>
      <c r="Y813" s="90"/>
      <c r="Z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120"/>
      <c r="W814" s="90"/>
      <c r="X814" s="90"/>
      <c r="Y814" s="90"/>
      <c r="Z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120"/>
      <c r="W815" s="90"/>
      <c r="X815" s="90"/>
      <c r="Y815" s="90"/>
      <c r="Z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120"/>
      <c r="W816" s="90"/>
      <c r="X816" s="90"/>
      <c r="Y816" s="90"/>
      <c r="Z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120"/>
      <c r="W817" s="90"/>
      <c r="X817" s="90"/>
      <c r="Y817" s="90"/>
      <c r="Z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120"/>
      <c r="W818" s="90"/>
      <c r="X818" s="90"/>
      <c r="Y818" s="90"/>
      <c r="Z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120"/>
      <c r="W819" s="90"/>
      <c r="X819" s="90"/>
      <c r="Y819" s="90"/>
      <c r="Z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120"/>
      <c r="W820" s="90"/>
      <c r="X820" s="90"/>
      <c r="Y820" s="90"/>
      <c r="Z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120"/>
      <c r="W821" s="90"/>
      <c r="X821" s="90"/>
      <c r="Y821" s="90"/>
      <c r="Z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120"/>
      <c r="W822" s="90"/>
      <c r="X822" s="90"/>
      <c r="Y822" s="90"/>
      <c r="Z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120"/>
      <c r="W823" s="90"/>
      <c r="X823" s="90"/>
      <c r="Y823" s="90"/>
      <c r="Z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120"/>
      <c r="W824" s="90"/>
      <c r="X824" s="90"/>
      <c r="Y824" s="90"/>
      <c r="Z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120"/>
      <c r="W825" s="90"/>
      <c r="X825" s="90"/>
      <c r="Y825" s="90"/>
      <c r="Z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120"/>
      <c r="W826" s="90"/>
      <c r="X826" s="90"/>
      <c r="Y826" s="90"/>
      <c r="Z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120"/>
      <c r="W827" s="90"/>
      <c r="X827" s="90"/>
      <c r="Y827" s="90"/>
      <c r="Z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120"/>
      <c r="W828" s="90"/>
      <c r="X828" s="90"/>
      <c r="Y828" s="90"/>
      <c r="Z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120"/>
      <c r="W829" s="90"/>
      <c r="X829" s="90"/>
      <c r="Y829" s="90"/>
      <c r="Z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120"/>
      <c r="W830" s="90"/>
      <c r="X830" s="90"/>
      <c r="Y830" s="90"/>
      <c r="Z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120"/>
      <c r="W831" s="90"/>
      <c r="X831" s="90"/>
      <c r="Y831" s="90"/>
      <c r="Z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120"/>
      <c r="W832" s="90"/>
      <c r="X832" s="90"/>
      <c r="Y832" s="90"/>
      <c r="Z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120"/>
      <c r="W833" s="90"/>
      <c r="X833" s="90"/>
      <c r="Y833" s="90"/>
      <c r="Z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120"/>
      <c r="W834" s="90"/>
      <c r="X834" s="90"/>
      <c r="Y834" s="90"/>
      <c r="Z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120"/>
      <c r="W835" s="90"/>
      <c r="X835" s="90"/>
      <c r="Y835" s="90"/>
      <c r="Z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120"/>
      <c r="W836" s="90"/>
      <c r="X836" s="90"/>
      <c r="Y836" s="90"/>
      <c r="Z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120"/>
      <c r="W837" s="90"/>
      <c r="X837" s="90"/>
      <c r="Y837" s="90"/>
      <c r="Z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120"/>
      <c r="W838" s="90"/>
      <c r="X838" s="90"/>
      <c r="Y838" s="90"/>
      <c r="Z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120"/>
      <c r="W839" s="90"/>
      <c r="X839" s="90"/>
      <c r="Y839" s="90"/>
      <c r="Z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120"/>
      <c r="W840" s="90"/>
      <c r="X840" s="90"/>
      <c r="Y840" s="90"/>
      <c r="Z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120"/>
      <c r="W841" s="90"/>
      <c r="X841" s="90"/>
      <c r="Y841" s="90"/>
      <c r="Z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120"/>
      <c r="W842" s="90"/>
      <c r="X842" s="90"/>
      <c r="Y842" s="90"/>
      <c r="Z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120"/>
      <c r="W843" s="90"/>
      <c r="X843" s="90"/>
      <c r="Y843" s="90"/>
      <c r="Z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120"/>
      <c r="W844" s="90"/>
      <c r="X844" s="90"/>
      <c r="Y844" s="90"/>
      <c r="Z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120"/>
      <c r="W845" s="90"/>
      <c r="X845" s="90"/>
      <c r="Y845" s="90"/>
      <c r="Z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120"/>
      <c r="W846" s="90"/>
      <c r="X846" s="90"/>
      <c r="Y846" s="90"/>
      <c r="Z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120"/>
      <c r="W847" s="90"/>
      <c r="X847" s="90"/>
      <c r="Y847" s="90"/>
      <c r="Z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120"/>
      <c r="W848" s="90"/>
      <c r="X848" s="90"/>
      <c r="Y848" s="90"/>
      <c r="Z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120"/>
      <c r="W849" s="90"/>
      <c r="X849" s="90"/>
      <c r="Y849" s="90"/>
      <c r="Z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120"/>
      <c r="W850" s="90"/>
      <c r="X850" s="90"/>
      <c r="Y850" s="90"/>
      <c r="Z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120"/>
      <c r="W851" s="90"/>
      <c r="X851" s="90"/>
      <c r="Y851" s="90"/>
      <c r="Z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120"/>
      <c r="W852" s="90"/>
      <c r="X852" s="90"/>
      <c r="Y852" s="90"/>
      <c r="Z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120"/>
      <c r="W853" s="90"/>
      <c r="X853" s="90"/>
      <c r="Y853" s="90"/>
      <c r="Z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120"/>
      <c r="W854" s="90"/>
      <c r="X854" s="90"/>
      <c r="Y854" s="90"/>
      <c r="Z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120"/>
      <c r="W855" s="90"/>
      <c r="X855" s="90"/>
      <c r="Y855" s="90"/>
      <c r="Z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120"/>
      <c r="W856" s="90"/>
      <c r="X856" s="90"/>
      <c r="Y856" s="90"/>
      <c r="Z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120"/>
      <c r="W857" s="90"/>
      <c r="X857" s="90"/>
      <c r="Y857" s="90"/>
      <c r="Z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120"/>
      <c r="W858" s="90"/>
      <c r="X858" s="90"/>
      <c r="Y858" s="90"/>
      <c r="Z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120"/>
      <c r="W859" s="90"/>
      <c r="X859" s="90"/>
      <c r="Y859" s="90"/>
      <c r="Z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120"/>
      <c r="W860" s="90"/>
      <c r="X860" s="90"/>
      <c r="Y860" s="90"/>
      <c r="Z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120"/>
      <c r="W861" s="90"/>
      <c r="X861" s="90"/>
      <c r="Y861" s="90"/>
      <c r="Z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120"/>
      <c r="W862" s="90"/>
      <c r="X862" s="90"/>
      <c r="Y862" s="90"/>
      <c r="Z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120"/>
      <c r="W863" s="90"/>
      <c r="X863" s="90"/>
      <c r="Y863" s="90"/>
      <c r="Z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120"/>
      <c r="W864" s="90"/>
      <c r="X864" s="90"/>
      <c r="Y864" s="90"/>
      <c r="Z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120"/>
      <c r="W865" s="90"/>
      <c r="X865" s="90"/>
      <c r="Y865" s="90"/>
      <c r="Z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120"/>
      <c r="W866" s="90"/>
      <c r="X866" s="90"/>
      <c r="Y866" s="90"/>
      <c r="Z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120"/>
      <c r="W867" s="90"/>
      <c r="X867" s="90"/>
      <c r="Y867" s="90"/>
      <c r="Z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120"/>
      <c r="W868" s="90"/>
      <c r="X868" s="90"/>
      <c r="Y868" s="90"/>
      <c r="Z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120"/>
      <c r="W869" s="90"/>
      <c r="X869" s="90"/>
      <c r="Y869" s="90"/>
      <c r="Z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120"/>
      <c r="W870" s="90"/>
      <c r="X870" s="90"/>
      <c r="Y870" s="90"/>
      <c r="Z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120"/>
      <c r="W871" s="90"/>
      <c r="X871" s="90"/>
      <c r="Y871" s="90"/>
      <c r="Z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120"/>
      <c r="W872" s="90"/>
      <c r="X872" s="90"/>
      <c r="Y872" s="90"/>
      <c r="Z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120"/>
      <c r="W873" s="90"/>
      <c r="X873" s="90"/>
      <c r="Y873" s="90"/>
      <c r="Z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120"/>
      <c r="W874" s="90"/>
      <c r="X874" s="90"/>
      <c r="Y874" s="90"/>
      <c r="Z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120"/>
      <c r="W875" s="90"/>
      <c r="X875" s="90"/>
      <c r="Y875" s="90"/>
      <c r="Z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120"/>
      <c r="W876" s="90"/>
      <c r="X876" s="90"/>
      <c r="Y876" s="90"/>
      <c r="Z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120"/>
      <c r="W877" s="90"/>
      <c r="X877" s="90"/>
      <c r="Y877" s="90"/>
      <c r="Z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120"/>
      <c r="W878" s="90"/>
      <c r="X878" s="90"/>
      <c r="Y878" s="90"/>
      <c r="Z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120"/>
      <c r="W879" s="90"/>
      <c r="X879" s="90"/>
      <c r="Y879" s="90"/>
      <c r="Z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120"/>
      <c r="W880" s="90"/>
      <c r="X880" s="90"/>
      <c r="Y880" s="90"/>
      <c r="Z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120"/>
      <c r="W881" s="90"/>
      <c r="X881" s="90"/>
      <c r="Y881" s="90"/>
      <c r="Z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120"/>
      <c r="W882" s="90"/>
      <c r="X882" s="90"/>
      <c r="Y882" s="90"/>
      <c r="Z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120"/>
      <c r="W883" s="90"/>
      <c r="X883" s="90"/>
      <c r="Y883" s="90"/>
      <c r="Z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120"/>
      <c r="W884" s="90"/>
      <c r="X884" s="90"/>
      <c r="Y884" s="90"/>
      <c r="Z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120"/>
      <c r="W885" s="90"/>
      <c r="X885" s="90"/>
      <c r="Y885" s="90"/>
      <c r="Z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120"/>
      <c r="W886" s="90"/>
      <c r="X886" s="90"/>
      <c r="Y886" s="90"/>
      <c r="Z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120"/>
      <c r="W887" s="90"/>
      <c r="X887" s="90"/>
      <c r="Y887" s="90"/>
      <c r="Z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120"/>
      <c r="W888" s="90"/>
      <c r="X888" s="90"/>
      <c r="Y888" s="90"/>
      <c r="Z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120"/>
      <c r="W889" s="90"/>
      <c r="X889" s="90"/>
      <c r="Y889" s="90"/>
      <c r="Z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120"/>
      <c r="W890" s="90"/>
      <c r="X890" s="90"/>
      <c r="Y890" s="90"/>
      <c r="Z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120"/>
      <c r="W891" s="90"/>
      <c r="X891" s="90"/>
      <c r="Y891" s="90"/>
      <c r="Z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120"/>
      <c r="W892" s="90"/>
      <c r="X892" s="90"/>
      <c r="Y892" s="90"/>
      <c r="Z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120"/>
      <c r="W893" s="90"/>
      <c r="X893" s="90"/>
      <c r="Y893" s="90"/>
      <c r="Z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120"/>
      <c r="W894" s="90"/>
      <c r="X894" s="90"/>
      <c r="Y894" s="90"/>
      <c r="Z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120"/>
      <c r="W895" s="90"/>
      <c r="X895" s="90"/>
      <c r="Y895" s="90"/>
      <c r="Z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120"/>
      <c r="W896" s="90"/>
      <c r="X896" s="90"/>
      <c r="Y896" s="90"/>
      <c r="Z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120"/>
      <c r="W897" s="90"/>
      <c r="X897" s="90"/>
      <c r="Y897" s="90"/>
      <c r="Z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120"/>
      <c r="W898" s="90"/>
      <c r="X898" s="90"/>
      <c r="Y898" s="90"/>
      <c r="Z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120"/>
      <c r="W899" s="90"/>
      <c r="X899" s="90"/>
      <c r="Y899" s="90"/>
      <c r="Z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120"/>
      <c r="W900" s="90"/>
      <c r="X900" s="90"/>
      <c r="Y900" s="90"/>
      <c r="Z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120"/>
      <c r="W901" s="90"/>
      <c r="X901" s="90"/>
      <c r="Y901" s="90"/>
      <c r="Z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120"/>
      <c r="W902" s="90"/>
      <c r="X902" s="90"/>
      <c r="Y902" s="90"/>
      <c r="Z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120"/>
      <c r="W903" s="90"/>
      <c r="X903" s="90"/>
      <c r="Y903" s="90"/>
      <c r="Z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120"/>
      <c r="W904" s="90"/>
      <c r="X904" s="90"/>
      <c r="Y904" s="90"/>
      <c r="Z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120"/>
      <c r="W905" s="90"/>
      <c r="X905" s="90"/>
      <c r="Y905" s="90"/>
      <c r="Z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120"/>
      <c r="W906" s="90"/>
      <c r="X906" s="90"/>
      <c r="Y906" s="90"/>
      <c r="Z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120"/>
      <c r="W907" s="90"/>
      <c r="X907" s="90"/>
      <c r="Y907" s="90"/>
      <c r="Z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120"/>
      <c r="W908" s="90"/>
      <c r="X908" s="90"/>
      <c r="Y908" s="90"/>
      <c r="Z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120"/>
      <c r="W909" s="90"/>
      <c r="X909" s="90"/>
      <c r="Y909" s="90"/>
      <c r="Z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120"/>
      <c r="W910" s="90"/>
      <c r="X910" s="90"/>
      <c r="Y910" s="90"/>
      <c r="Z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120"/>
      <c r="W911" s="90"/>
      <c r="X911" s="90"/>
      <c r="Y911" s="90"/>
      <c r="Z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120"/>
      <c r="W912" s="90"/>
      <c r="X912" s="90"/>
      <c r="Y912" s="90"/>
      <c r="Z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120"/>
      <c r="W913" s="90"/>
      <c r="X913" s="90"/>
      <c r="Y913" s="90"/>
      <c r="Z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120"/>
      <c r="W914" s="90"/>
      <c r="X914" s="90"/>
      <c r="Y914" s="90"/>
      <c r="Z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120"/>
      <c r="W915" s="90"/>
      <c r="X915" s="90"/>
      <c r="Y915" s="90"/>
      <c r="Z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120"/>
      <c r="W916" s="90"/>
      <c r="X916" s="90"/>
      <c r="Y916" s="90"/>
      <c r="Z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120"/>
      <c r="W917" s="90"/>
      <c r="X917" s="90"/>
      <c r="Y917" s="90"/>
      <c r="Z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120"/>
      <c r="W918" s="90"/>
      <c r="X918" s="90"/>
      <c r="Y918" s="90"/>
      <c r="Z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120"/>
      <c r="W919" s="90"/>
      <c r="X919" s="90"/>
      <c r="Y919" s="90"/>
      <c r="Z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120"/>
      <c r="W920" s="90"/>
      <c r="X920" s="90"/>
      <c r="Y920" s="90"/>
      <c r="Z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120"/>
      <c r="W921" s="90"/>
      <c r="X921" s="90"/>
      <c r="Y921" s="90"/>
      <c r="Z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120"/>
      <c r="W922" s="90"/>
      <c r="X922" s="90"/>
      <c r="Y922" s="90"/>
      <c r="Z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120"/>
      <c r="W923" s="90"/>
      <c r="X923" s="90"/>
      <c r="Y923" s="90"/>
      <c r="Z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120"/>
      <c r="W924" s="90"/>
      <c r="X924" s="90"/>
      <c r="Y924" s="90"/>
      <c r="Z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120"/>
      <c r="W925" s="90"/>
      <c r="X925" s="90"/>
      <c r="Y925" s="90"/>
      <c r="Z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120"/>
      <c r="W926" s="90"/>
      <c r="X926" s="90"/>
      <c r="Y926" s="90"/>
      <c r="Z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120"/>
      <c r="W927" s="90"/>
      <c r="X927" s="90"/>
      <c r="Y927" s="90"/>
      <c r="Z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120"/>
      <c r="W928" s="90"/>
      <c r="X928" s="90"/>
      <c r="Y928" s="90"/>
      <c r="Z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120"/>
      <c r="W929" s="90"/>
      <c r="X929" s="90"/>
      <c r="Y929" s="90"/>
      <c r="Z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120"/>
      <c r="W930" s="90"/>
      <c r="X930" s="90"/>
      <c r="Y930" s="90"/>
      <c r="Z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120"/>
      <c r="W931" s="90"/>
      <c r="X931" s="90"/>
      <c r="Y931" s="90"/>
      <c r="Z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120"/>
      <c r="W932" s="90"/>
      <c r="X932" s="90"/>
      <c r="Y932" s="90"/>
      <c r="Z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120"/>
      <c r="W933" s="90"/>
      <c r="X933" s="90"/>
      <c r="Y933" s="90"/>
      <c r="Z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120"/>
      <c r="W934" s="90"/>
      <c r="X934" s="90"/>
      <c r="Y934" s="90"/>
      <c r="Z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120"/>
      <c r="W935" s="90"/>
      <c r="X935" s="90"/>
      <c r="Y935" s="90"/>
      <c r="Z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120"/>
      <c r="W936" s="90"/>
      <c r="X936" s="90"/>
      <c r="Y936" s="90"/>
      <c r="Z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120"/>
      <c r="W937" s="90"/>
      <c r="X937" s="90"/>
      <c r="Y937" s="90"/>
      <c r="Z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120"/>
      <c r="W938" s="90"/>
      <c r="X938" s="90"/>
      <c r="Y938" s="90"/>
      <c r="Z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120"/>
      <c r="W939" s="90"/>
      <c r="X939" s="90"/>
      <c r="Y939" s="90"/>
      <c r="Z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120"/>
      <c r="W940" s="90"/>
      <c r="X940" s="90"/>
      <c r="Y940" s="90"/>
      <c r="Z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120"/>
      <c r="W941" s="90"/>
      <c r="X941" s="90"/>
      <c r="Y941" s="90"/>
      <c r="Z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120"/>
      <c r="W942" s="90"/>
      <c r="X942" s="90"/>
      <c r="Y942" s="90"/>
      <c r="Z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120"/>
      <c r="W943" s="90"/>
      <c r="X943" s="90"/>
      <c r="Y943" s="90"/>
      <c r="Z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120"/>
      <c r="W944" s="90"/>
      <c r="X944" s="90"/>
      <c r="Y944" s="90"/>
      <c r="Z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120"/>
      <c r="W945" s="90"/>
      <c r="X945" s="90"/>
      <c r="Y945" s="90"/>
      <c r="Z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120"/>
      <c r="W946" s="90"/>
      <c r="X946" s="90"/>
      <c r="Y946" s="90"/>
      <c r="Z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120"/>
      <c r="W947" s="90"/>
      <c r="X947" s="90"/>
      <c r="Y947" s="90"/>
      <c r="Z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120"/>
      <c r="W948" s="90"/>
      <c r="X948" s="90"/>
      <c r="Y948" s="90"/>
      <c r="Z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120"/>
      <c r="W949" s="90"/>
      <c r="X949" s="90"/>
      <c r="Y949" s="90"/>
      <c r="Z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120"/>
      <c r="W950" s="90"/>
      <c r="X950" s="90"/>
      <c r="Y950" s="90"/>
      <c r="Z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120"/>
      <c r="W951" s="90"/>
      <c r="X951" s="90"/>
      <c r="Y951" s="90"/>
      <c r="Z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120"/>
      <c r="W952" s="90"/>
      <c r="X952" s="90"/>
      <c r="Y952" s="90"/>
      <c r="Z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120"/>
      <c r="W953" s="90"/>
      <c r="X953" s="90"/>
      <c r="Y953" s="90"/>
      <c r="Z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120"/>
      <c r="W954" s="90"/>
      <c r="X954" s="90"/>
      <c r="Y954" s="90"/>
      <c r="Z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120"/>
      <c r="W955" s="90"/>
      <c r="X955" s="90"/>
      <c r="Y955" s="90"/>
      <c r="Z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120"/>
      <c r="W956" s="90"/>
      <c r="X956" s="90"/>
      <c r="Y956" s="90"/>
      <c r="Z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120"/>
      <c r="W957" s="90"/>
      <c r="X957" s="90"/>
      <c r="Y957" s="90"/>
      <c r="Z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120"/>
      <c r="W958" s="90"/>
      <c r="X958" s="90"/>
      <c r="Y958" s="90"/>
      <c r="Z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120"/>
      <c r="W959" s="90"/>
      <c r="X959" s="90"/>
      <c r="Y959" s="90"/>
      <c r="Z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120"/>
      <c r="W960" s="90"/>
      <c r="X960" s="90"/>
      <c r="Y960" s="90"/>
      <c r="Z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120"/>
      <c r="W961" s="90"/>
      <c r="X961" s="90"/>
      <c r="Y961" s="90"/>
      <c r="Z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120"/>
      <c r="W962" s="90"/>
      <c r="X962" s="90"/>
      <c r="Y962" s="90"/>
      <c r="Z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120"/>
      <c r="W963" s="90"/>
      <c r="X963" s="90"/>
      <c r="Y963" s="90"/>
      <c r="Z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120"/>
      <c r="W964" s="90"/>
      <c r="X964" s="90"/>
      <c r="Y964" s="90"/>
      <c r="Z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120"/>
      <c r="W965" s="90"/>
      <c r="X965" s="90"/>
      <c r="Y965" s="90"/>
      <c r="Z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120"/>
      <c r="W966" s="90"/>
      <c r="X966" s="90"/>
      <c r="Y966" s="90"/>
      <c r="Z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120"/>
      <c r="W967" s="90"/>
      <c r="X967" s="90"/>
      <c r="Y967" s="90"/>
      <c r="Z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120"/>
      <c r="W968" s="90"/>
      <c r="X968" s="90"/>
      <c r="Y968" s="90"/>
      <c r="Z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120"/>
      <c r="W969" s="90"/>
      <c r="X969" s="90"/>
      <c r="Y969" s="90"/>
      <c r="Z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120"/>
      <c r="W970" s="90"/>
      <c r="X970" s="90"/>
      <c r="Y970" s="90"/>
      <c r="Z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120"/>
      <c r="W971" s="90"/>
      <c r="X971" s="90"/>
      <c r="Y971" s="90"/>
      <c r="Z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120"/>
      <c r="W972" s="90"/>
      <c r="X972" s="90"/>
      <c r="Y972" s="90"/>
      <c r="Z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120"/>
      <c r="W973" s="90"/>
      <c r="X973" s="90"/>
      <c r="Y973" s="90"/>
      <c r="Z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120"/>
      <c r="W974" s="90"/>
      <c r="X974" s="90"/>
      <c r="Y974" s="90"/>
      <c r="Z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120"/>
      <c r="W975" s="90"/>
      <c r="X975" s="90"/>
      <c r="Y975" s="90"/>
      <c r="Z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120"/>
      <c r="W976" s="90"/>
      <c r="X976" s="90"/>
      <c r="Y976" s="90"/>
      <c r="Z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120"/>
      <c r="W977" s="90"/>
      <c r="X977" s="90"/>
      <c r="Y977" s="90"/>
      <c r="Z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120"/>
      <c r="W978" s="90"/>
      <c r="X978" s="90"/>
      <c r="Y978" s="90"/>
      <c r="Z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120"/>
      <c r="W979" s="90"/>
      <c r="X979" s="90"/>
      <c r="Y979" s="90"/>
      <c r="Z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120"/>
      <c r="W980" s="90"/>
      <c r="X980" s="90"/>
      <c r="Y980" s="90"/>
      <c r="Z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120"/>
      <c r="W981" s="90"/>
      <c r="X981" s="90"/>
      <c r="Y981" s="90"/>
      <c r="Z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120"/>
      <c r="W982" s="90"/>
      <c r="X982" s="90"/>
      <c r="Y982" s="90"/>
      <c r="Z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120"/>
      <c r="W983" s="90"/>
      <c r="X983" s="90"/>
      <c r="Y983" s="90"/>
      <c r="Z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120"/>
      <c r="W984" s="90"/>
      <c r="X984" s="90"/>
      <c r="Y984" s="90"/>
      <c r="Z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120"/>
      <c r="W985" s="90"/>
      <c r="X985" s="90"/>
      <c r="Y985" s="90"/>
      <c r="Z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120"/>
      <c r="W986" s="90"/>
      <c r="X986" s="90"/>
      <c r="Y986" s="90"/>
      <c r="Z986" s="90"/>
    </row>
    <row r="987">
      <c r="A987" s="90"/>
      <c r="B987" s="90"/>
      <c r="C987" s="90"/>
      <c r="D987" s="90"/>
      <c r="E987" s="90"/>
      <c r="F987" s="90"/>
      <c r="G987" s="90"/>
      <c r="H987" s="90"/>
      <c r="I987" s="90"/>
      <c r="J987" s="90"/>
      <c r="K987" s="90"/>
      <c r="L987" s="90"/>
      <c r="M987" s="90"/>
      <c r="N987" s="90"/>
      <c r="O987" s="90"/>
      <c r="P987" s="90"/>
      <c r="Q987" s="90"/>
      <c r="R987" s="90"/>
      <c r="S987" s="90"/>
      <c r="T987" s="90"/>
      <c r="U987" s="90"/>
      <c r="V987" s="120"/>
      <c r="W987" s="90"/>
      <c r="X987" s="90"/>
      <c r="Y987" s="90"/>
      <c r="Z987" s="90"/>
    </row>
    <row r="988">
      <c r="A988" s="90"/>
      <c r="B988" s="90"/>
      <c r="C988" s="90"/>
      <c r="D988" s="90"/>
      <c r="E988" s="90"/>
      <c r="F988" s="90"/>
      <c r="G988" s="90"/>
      <c r="H988" s="90"/>
      <c r="I988" s="90"/>
      <c r="J988" s="90"/>
      <c r="K988" s="90"/>
      <c r="L988" s="90"/>
      <c r="M988" s="90"/>
      <c r="N988" s="90"/>
      <c r="O988" s="90"/>
      <c r="P988" s="90"/>
      <c r="Q988" s="90"/>
      <c r="R988" s="90"/>
      <c r="S988" s="90"/>
      <c r="T988" s="90"/>
      <c r="U988" s="90"/>
      <c r="V988" s="120"/>
      <c r="W988" s="90"/>
      <c r="X988" s="90"/>
      <c r="Y988" s="90"/>
      <c r="Z988" s="90"/>
    </row>
    <row r="989">
      <c r="A989" s="90"/>
      <c r="B989" s="90"/>
      <c r="C989" s="90"/>
      <c r="D989" s="90"/>
      <c r="E989" s="90"/>
      <c r="F989" s="90"/>
      <c r="G989" s="90"/>
      <c r="H989" s="90"/>
      <c r="I989" s="90"/>
      <c r="J989" s="90"/>
      <c r="K989" s="90"/>
      <c r="L989" s="90"/>
      <c r="M989" s="90"/>
      <c r="N989" s="90"/>
      <c r="O989" s="90"/>
      <c r="P989" s="90"/>
      <c r="Q989" s="90"/>
      <c r="R989" s="90"/>
      <c r="S989" s="90"/>
      <c r="T989" s="90"/>
      <c r="U989" s="90"/>
      <c r="V989" s="120"/>
      <c r="W989" s="90"/>
      <c r="X989" s="90"/>
      <c r="Y989" s="90"/>
      <c r="Z989" s="90"/>
    </row>
    <row r="990">
      <c r="A990" s="90"/>
      <c r="B990" s="90"/>
      <c r="C990" s="90"/>
      <c r="D990" s="90"/>
      <c r="E990" s="90"/>
      <c r="F990" s="90"/>
      <c r="G990" s="90"/>
      <c r="H990" s="90"/>
      <c r="I990" s="90"/>
      <c r="J990" s="90"/>
      <c r="K990" s="90"/>
      <c r="L990" s="90"/>
      <c r="M990" s="90"/>
      <c r="N990" s="90"/>
      <c r="O990" s="90"/>
      <c r="P990" s="90"/>
      <c r="Q990" s="90"/>
      <c r="R990" s="90"/>
      <c r="S990" s="90"/>
      <c r="T990" s="90"/>
      <c r="U990" s="90"/>
      <c r="V990" s="120"/>
      <c r="W990" s="90"/>
      <c r="X990" s="90"/>
      <c r="Y990" s="90"/>
      <c r="Z990" s="90"/>
    </row>
    <row r="991">
      <c r="A991" s="90"/>
      <c r="B991" s="90"/>
      <c r="C991" s="90"/>
      <c r="D991" s="90"/>
      <c r="E991" s="90"/>
      <c r="F991" s="90"/>
      <c r="G991" s="90"/>
      <c r="H991" s="90"/>
      <c r="I991" s="90"/>
      <c r="J991" s="90"/>
      <c r="K991" s="90"/>
      <c r="L991" s="90"/>
      <c r="M991" s="90"/>
      <c r="N991" s="90"/>
      <c r="O991" s="90"/>
      <c r="P991" s="90"/>
      <c r="Q991" s="90"/>
      <c r="R991" s="90"/>
      <c r="S991" s="90"/>
      <c r="T991" s="90"/>
      <c r="U991" s="90"/>
      <c r="V991" s="120"/>
      <c r="W991" s="90"/>
      <c r="X991" s="90"/>
      <c r="Y991" s="90"/>
      <c r="Z991" s="90"/>
    </row>
    <row r="992">
      <c r="A992" s="90"/>
      <c r="B992" s="90"/>
      <c r="C992" s="90"/>
      <c r="D992" s="90"/>
      <c r="E992" s="90"/>
      <c r="F992" s="90"/>
      <c r="G992" s="90"/>
      <c r="H992" s="90"/>
      <c r="I992" s="90"/>
      <c r="J992" s="90"/>
      <c r="K992" s="90"/>
      <c r="L992" s="90"/>
      <c r="M992" s="90"/>
      <c r="N992" s="90"/>
      <c r="O992" s="90"/>
      <c r="P992" s="90"/>
      <c r="Q992" s="90"/>
      <c r="R992" s="90"/>
      <c r="S992" s="90"/>
      <c r="T992" s="90"/>
      <c r="U992" s="90"/>
      <c r="V992" s="120"/>
      <c r="W992" s="90"/>
      <c r="X992" s="90"/>
      <c r="Y992" s="90"/>
      <c r="Z992" s="90"/>
    </row>
    <row r="993">
      <c r="A993" s="90"/>
      <c r="B993" s="90"/>
      <c r="C993" s="90"/>
      <c r="D993" s="90"/>
      <c r="E993" s="90"/>
      <c r="F993" s="90"/>
      <c r="G993" s="90"/>
      <c r="H993" s="90"/>
      <c r="I993" s="90"/>
      <c r="J993" s="90"/>
      <c r="K993" s="90"/>
      <c r="L993" s="90"/>
      <c r="M993" s="90"/>
      <c r="N993" s="90"/>
      <c r="O993" s="90"/>
      <c r="P993" s="90"/>
      <c r="Q993" s="90"/>
      <c r="R993" s="90"/>
      <c r="S993" s="90"/>
      <c r="T993" s="90"/>
      <c r="U993" s="90"/>
      <c r="V993" s="120"/>
      <c r="W993" s="90"/>
      <c r="X993" s="90"/>
      <c r="Y993" s="90"/>
      <c r="Z993" s="90"/>
    </row>
    <row r="994">
      <c r="A994" s="90"/>
      <c r="B994" s="90"/>
      <c r="C994" s="90"/>
      <c r="D994" s="90"/>
      <c r="E994" s="90"/>
      <c r="F994" s="90"/>
      <c r="G994" s="90"/>
      <c r="H994" s="90"/>
      <c r="I994" s="90"/>
      <c r="J994" s="90"/>
      <c r="K994" s="90"/>
      <c r="L994" s="90"/>
      <c r="M994" s="90"/>
      <c r="N994" s="90"/>
      <c r="O994" s="90"/>
      <c r="P994" s="90"/>
      <c r="Q994" s="90"/>
      <c r="R994" s="90"/>
      <c r="S994" s="90"/>
      <c r="T994" s="90"/>
      <c r="U994" s="90"/>
      <c r="V994" s="120"/>
      <c r="W994" s="90"/>
      <c r="X994" s="90"/>
      <c r="Y994" s="90"/>
      <c r="Z994" s="90"/>
    </row>
    <row r="995">
      <c r="A995" s="90"/>
      <c r="B995" s="90"/>
      <c r="C995" s="90"/>
      <c r="D995" s="90"/>
      <c r="E995" s="90"/>
      <c r="F995" s="90"/>
      <c r="G995" s="90"/>
      <c r="H995" s="90"/>
      <c r="I995" s="90"/>
      <c r="J995" s="90"/>
      <c r="K995" s="90"/>
      <c r="L995" s="90"/>
      <c r="M995" s="90"/>
      <c r="N995" s="90"/>
      <c r="O995" s="90"/>
      <c r="P995" s="90"/>
      <c r="Q995" s="90"/>
      <c r="R995" s="90"/>
      <c r="S995" s="90"/>
      <c r="T995" s="90"/>
      <c r="U995" s="90"/>
      <c r="V995" s="120"/>
      <c r="W995" s="90"/>
      <c r="X995" s="90"/>
      <c r="Y995" s="90"/>
      <c r="Z995" s="90"/>
    </row>
    <row r="996">
      <c r="A996" s="90"/>
      <c r="B996" s="90"/>
      <c r="C996" s="90"/>
      <c r="D996" s="90"/>
      <c r="E996" s="90"/>
      <c r="F996" s="90"/>
      <c r="G996" s="90"/>
      <c r="H996" s="90"/>
      <c r="I996" s="90"/>
      <c r="J996" s="90"/>
      <c r="K996" s="90"/>
      <c r="L996" s="90"/>
      <c r="M996" s="90"/>
      <c r="N996" s="90"/>
      <c r="O996" s="90"/>
      <c r="P996" s="90"/>
      <c r="Q996" s="90"/>
      <c r="R996" s="90"/>
      <c r="S996" s="90"/>
      <c r="T996" s="90"/>
      <c r="U996" s="90"/>
      <c r="V996" s="120"/>
      <c r="W996" s="90"/>
      <c r="X996" s="90"/>
      <c r="Y996" s="90"/>
      <c r="Z996" s="90"/>
    </row>
    <row r="997">
      <c r="A997" s="90"/>
      <c r="B997" s="90"/>
      <c r="C997" s="90"/>
      <c r="D997" s="90"/>
      <c r="E997" s="90"/>
      <c r="F997" s="90"/>
      <c r="G997" s="90"/>
      <c r="H997" s="90"/>
      <c r="I997" s="90"/>
      <c r="J997" s="90"/>
      <c r="K997" s="90"/>
      <c r="L997" s="90"/>
      <c r="M997" s="90"/>
      <c r="N997" s="90"/>
      <c r="O997" s="90"/>
      <c r="P997" s="90"/>
      <c r="Q997" s="90"/>
      <c r="R997" s="90"/>
      <c r="S997" s="90"/>
      <c r="T997" s="90"/>
      <c r="U997" s="90"/>
      <c r="V997" s="120"/>
      <c r="W997" s="90"/>
      <c r="X997" s="90"/>
      <c r="Y997" s="90"/>
      <c r="Z997" s="90"/>
    </row>
    <row r="998">
      <c r="A998" s="90"/>
      <c r="B998" s="90"/>
      <c r="C998" s="90"/>
      <c r="D998" s="90"/>
      <c r="E998" s="90"/>
      <c r="F998" s="90"/>
      <c r="G998" s="90"/>
      <c r="H998" s="90"/>
      <c r="I998" s="90"/>
      <c r="J998" s="90"/>
      <c r="K998" s="90"/>
      <c r="L998" s="90"/>
      <c r="M998" s="90"/>
      <c r="N998" s="90"/>
      <c r="O998" s="90"/>
      <c r="P998" s="90"/>
      <c r="Q998" s="90"/>
      <c r="R998" s="90"/>
      <c r="S998" s="90"/>
      <c r="T998" s="90"/>
      <c r="U998" s="90"/>
      <c r="V998" s="120"/>
      <c r="W998" s="90"/>
      <c r="X998" s="90"/>
      <c r="Y998" s="90"/>
      <c r="Z998" s="90"/>
    </row>
    <row r="999">
      <c r="A999" s="90"/>
      <c r="B999" s="90"/>
      <c r="C999" s="90"/>
      <c r="D999" s="90"/>
      <c r="E999" s="90"/>
      <c r="F999" s="90"/>
      <c r="G999" s="90"/>
      <c r="H999" s="90"/>
      <c r="I999" s="90"/>
      <c r="J999" s="90"/>
      <c r="K999" s="90"/>
      <c r="L999" s="90"/>
      <c r="M999" s="90"/>
      <c r="N999" s="90"/>
      <c r="O999" s="90"/>
      <c r="P999" s="90"/>
      <c r="Q999" s="90"/>
      <c r="R999" s="90"/>
      <c r="S999" s="90"/>
      <c r="T999" s="90"/>
      <c r="U999" s="90"/>
      <c r="V999" s="120"/>
      <c r="W999" s="90"/>
      <c r="X999" s="90"/>
      <c r="Y999" s="90"/>
      <c r="Z999" s="90"/>
    </row>
    <row r="1000">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120"/>
      <c r="W1000" s="90"/>
      <c r="X1000" s="90"/>
      <c r="Y1000" s="90"/>
      <c r="Z1000" s="90"/>
    </row>
  </sheetData>
  <conditionalFormatting sqref="Q1:Q1000">
    <cfRule type="containsText" dxfId="5" priority="1" operator="containsText" text="Understock">
      <formula>NOT(ISERROR(SEARCH(("Understock"),(Q1))))</formula>
    </cfRule>
  </conditionalFormatting>
  <conditionalFormatting sqref="Q1:Q1000">
    <cfRule type="containsText" dxfId="6" priority="2" operator="containsText" text="Overstock">
      <formula>NOT(ISERROR(SEARCH(("Overstock"),(Q1))))</formula>
    </cfRule>
  </conditionalFormatting>
  <conditionalFormatting sqref="Q1:Q1000">
    <cfRule type="containsText" dxfId="7" priority="3" operator="containsText" text="Balanced">
      <formula>NOT(ISERROR(SEARCH(("Balanced"),(Q1))))</formula>
    </cfRule>
  </conditionalFormatting>
  <conditionalFormatting sqref="S1:S1000">
    <cfRule type="containsText" dxfId="5" priority="4" operator="containsText" text="Over Budget">
      <formula>NOT(ISERROR(SEARCH(("Over Budget"),(S1))))</formula>
    </cfRule>
  </conditionalFormatting>
  <conditionalFormatting sqref="S1:S1000">
    <cfRule type="containsText" dxfId="7" priority="5" operator="containsText" text="Within Budget">
      <formula>NOT(ISERROR(SEARCH(("Within Budget"),(S1))))</formula>
    </cfRule>
  </conditionalFormatting>
  <conditionalFormatting sqref="W1:W1000">
    <cfRule type="containsText" dxfId="5" priority="6" operator="containsText" text="Deficit - Consider Transfer">
      <formula>NOT(ISERROR(SEARCH(("Deficit - Consider Transfer"),(W1))))</formula>
    </cfRule>
  </conditionalFormatting>
  <conditionalFormatting sqref="W1:W1000">
    <cfRule type="containsText" dxfId="7" priority="7" operator="containsText" text="Balanced">
      <formula>NOT(ISERROR(SEARCH(("Balanced"),(W1))))</formula>
    </cfRule>
  </conditionalFormatting>
  <conditionalFormatting sqref="W1:W1000">
    <cfRule type="containsText" dxfId="6" priority="8" operator="containsText" text="Surplus - Consider Reroute">
      <formula>NOT(ISERROR(SEARCH(("Surplus - Consider Reroute"),(W1))))</formula>
    </cfRule>
  </conditionalFormatting>
  <dataValidations>
    <dataValidation type="custom" allowBlank="1" showDropDown="1" sqref="N2:N15">
      <formula1>OR(NOT(ISERROR(DATEVALUE(N2))), AND(ISNUMBER(N2), LEFT(CELL("format", N2))="D"))</formula1>
    </dataValidation>
    <dataValidation type="custom" allowBlank="1" showDropDown="1" sqref="B2:B15 E2:E15 G2:J15">
      <formula1>AND(ISNUMBER(B2),(NOT(OR(NOT(ISERROR(DATEVALUE(B2))), AND(ISNUMBER(B2), LEFT(CELL("format", B2))="D")))))</formula1>
    </dataValidation>
    <dataValidation allowBlank="1" showDropDown="1" sqref="A2:A15"/>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5.75"/>
    <col customWidth="1" min="4" max="4" width="19.63"/>
    <col customWidth="1" min="5" max="5" width="21.75"/>
  </cols>
  <sheetData>
    <row r="1"/>
    <row r="2"/>
    <row r="3"/>
    <row r="4"/>
    <row r="5"/>
    <row r="6"/>
    <row r="7"/>
    <row r="8"/>
    <row r="9"/>
    <row r="10"/>
    <row r="11"/>
    <row r="12"/>
    <row r="13"/>
    <row r="1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8" width="19.25"/>
    <col customWidth="1" min="19" max="19" width="23.75"/>
  </cols>
  <sheetData>
    <row r="1"/>
    <row r="2"/>
    <row r="3"/>
    <row r="4"/>
    <row r="5"/>
    <row r="6"/>
    <row r="7"/>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7" t="s">
        <v>10</v>
      </c>
      <c r="B1" s="117" t="s">
        <v>7</v>
      </c>
      <c r="C1" s="117" t="s">
        <v>33</v>
      </c>
      <c r="D1" s="117" t="s">
        <v>19</v>
      </c>
      <c r="E1" s="117" t="s">
        <v>48</v>
      </c>
      <c r="F1" s="117" t="s">
        <v>50</v>
      </c>
      <c r="G1" s="117" t="s">
        <v>3</v>
      </c>
      <c r="H1" s="117" t="s">
        <v>53</v>
      </c>
      <c r="I1" s="117" t="s">
        <v>55</v>
      </c>
      <c r="J1" s="117" t="s">
        <v>57</v>
      </c>
    </row>
    <row r="2">
      <c r="A2" s="31" t="s">
        <v>25</v>
      </c>
      <c r="B2" s="31">
        <v>1001.0</v>
      </c>
      <c r="C2" s="31" t="s">
        <v>26</v>
      </c>
      <c r="D2" s="31" t="s">
        <v>24</v>
      </c>
      <c r="E2" s="31">
        <v>50.0</v>
      </c>
      <c r="F2" s="31">
        <v>29.99</v>
      </c>
      <c r="G2" s="31">
        <v>1499.5</v>
      </c>
      <c r="H2" s="31" t="s">
        <v>64</v>
      </c>
      <c r="I2" s="123">
        <v>46188.0</v>
      </c>
      <c r="J2" s="31" t="s">
        <v>65</v>
      </c>
    </row>
    <row r="3">
      <c r="A3" s="31" t="s">
        <v>25</v>
      </c>
      <c r="B3" s="31">
        <v>1002.0</v>
      </c>
      <c r="C3" s="31" t="s">
        <v>23</v>
      </c>
      <c r="D3" s="31" t="s">
        <v>24</v>
      </c>
      <c r="E3" s="31">
        <v>40.0</v>
      </c>
      <c r="F3" s="31">
        <v>29.99</v>
      </c>
      <c r="G3" s="31">
        <v>1199.6</v>
      </c>
      <c r="H3" s="31" t="s">
        <v>66</v>
      </c>
      <c r="I3" s="38">
        <v>46188.0</v>
      </c>
      <c r="J3" s="31" t="s">
        <v>67</v>
      </c>
    </row>
    <row r="4">
      <c r="A4" s="31" t="s">
        <v>28</v>
      </c>
      <c r="B4" s="31">
        <v>1001.0</v>
      </c>
      <c r="C4" s="31" t="s">
        <v>26</v>
      </c>
      <c r="D4" s="31" t="s">
        <v>24</v>
      </c>
      <c r="E4" s="31">
        <v>60.0</v>
      </c>
      <c r="F4" s="31">
        <v>29.99</v>
      </c>
      <c r="G4" s="31">
        <v>1799.4</v>
      </c>
      <c r="H4" s="31" t="s">
        <v>68</v>
      </c>
      <c r="I4" s="124">
        <v>46187.0</v>
      </c>
    </row>
    <row r="5">
      <c r="A5" s="31" t="s">
        <v>28</v>
      </c>
      <c r="B5" s="31">
        <v>1003.0</v>
      </c>
      <c r="C5" s="31" t="s">
        <v>29</v>
      </c>
      <c r="D5" s="31" t="s">
        <v>30</v>
      </c>
      <c r="E5" s="31">
        <v>20.0</v>
      </c>
      <c r="F5" s="31">
        <v>49.99</v>
      </c>
      <c r="G5" s="31">
        <v>999.8</v>
      </c>
      <c r="H5" s="31" t="s">
        <v>69</v>
      </c>
      <c r="I5" s="123">
        <v>46193.0</v>
      </c>
    </row>
    <row r="6">
      <c r="A6" s="31" t="s">
        <v>22</v>
      </c>
      <c r="B6" s="31">
        <v>1002.0</v>
      </c>
      <c r="C6" s="31" t="s">
        <v>23</v>
      </c>
      <c r="D6" s="31" t="s">
        <v>24</v>
      </c>
      <c r="E6" s="31">
        <v>25.0</v>
      </c>
      <c r="F6" s="31">
        <v>29.99</v>
      </c>
      <c r="G6" s="31">
        <v>749.75</v>
      </c>
      <c r="H6" s="31" t="s">
        <v>70</v>
      </c>
      <c r="I6" s="125">
        <v>46191.0</v>
      </c>
    </row>
    <row r="7">
      <c r="A7" s="31" t="s">
        <v>25</v>
      </c>
      <c r="B7" s="31">
        <v>1004.0</v>
      </c>
      <c r="C7" s="31" t="s">
        <v>71</v>
      </c>
      <c r="D7" s="31" t="s">
        <v>72</v>
      </c>
      <c r="F7" s="31">
        <v>34.99</v>
      </c>
      <c r="G7" s="31">
        <v>699.8</v>
      </c>
      <c r="H7" s="31" t="s">
        <v>73</v>
      </c>
      <c r="I7" s="126">
        <v>46190.0</v>
      </c>
      <c r="J7" s="31" t="s">
        <v>74</v>
      </c>
    </row>
    <row r="8">
      <c r="A8" s="31" t="s">
        <v>28</v>
      </c>
      <c r="B8" s="31">
        <v>1005.0</v>
      </c>
      <c r="C8" s="31" t="s">
        <v>31</v>
      </c>
      <c r="D8" s="31" t="s">
        <v>32</v>
      </c>
      <c r="E8" s="31">
        <v>15.0</v>
      </c>
      <c r="G8" s="31">
        <v>600.0</v>
      </c>
      <c r="H8" s="31" t="s">
        <v>75</v>
      </c>
      <c r="I8" s="123">
        <v>46195.0</v>
      </c>
      <c r="J8" s="31" t="s">
        <v>76</v>
      </c>
    </row>
    <row r="9">
      <c r="A9" s="31" t="s">
        <v>22</v>
      </c>
      <c r="B9" s="31">
        <v>1006.0</v>
      </c>
      <c r="C9" s="31" t="s">
        <v>77</v>
      </c>
      <c r="D9" s="31" t="s">
        <v>38</v>
      </c>
      <c r="E9" s="31">
        <v>30.0</v>
      </c>
      <c r="F9" s="31">
        <v>39.99</v>
      </c>
      <c r="G9" s="31">
        <v>1199.7</v>
      </c>
      <c r="I9" s="123">
        <v>46192.0</v>
      </c>
      <c r="J9" s="31" t="s">
        <v>78</v>
      </c>
    </row>
    <row r="10">
      <c r="A10" s="31" t="s">
        <v>25</v>
      </c>
      <c r="B10" s="31">
        <v>1007.0</v>
      </c>
      <c r="C10" s="31" t="s">
        <v>40</v>
      </c>
      <c r="D10" s="31" t="s">
        <v>32</v>
      </c>
      <c r="E10" s="31">
        <v>35.0</v>
      </c>
      <c r="F10" s="31">
        <v>19.99</v>
      </c>
      <c r="G10" s="31">
        <v>699.65</v>
      </c>
      <c r="H10" s="31" t="s">
        <v>79</v>
      </c>
      <c r="I10" s="123">
        <v>46189.0</v>
      </c>
    </row>
    <row r="11">
      <c r="A11" s="31" t="s">
        <v>28</v>
      </c>
      <c r="B11" s="31">
        <v>1008.0</v>
      </c>
      <c r="C11" s="31" t="s">
        <v>43</v>
      </c>
      <c r="D11" s="31" t="s">
        <v>72</v>
      </c>
      <c r="E11" s="31">
        <v>25.0</v>
      </c>
      <c r="F11" s="31">
        <v>34.99</v>
      </c>
      <c r="G11" s="31">
        <v>874.75</v>
      </c>
      <c r="H11" s="31" t="s">
        <v>80</v>
      </c>
      <c r="I11" s="123">
        <v>46194.0</v>
      </c>
    </row>
    <row r="12">
      <c r="A12" s="31" t="s">
        <v>22</v>
      </c>
      <c r="B12" s="31">
        <v>1009.0</v>
      </c>
      <c r="C12" s="31" t="s">
        <v>39</v>
      </c>
      <c r="D12" s="31" t="s">
        <v>24</v>
      </c>
      <c r="F12" s="31">
        <v>32.99</v>
      </c>
      <c r="G12" s="31">
        <v>1059.6</v>
      </c>
      <c r="H12" s="31" t="s">
        <v>81</v>
      </c>
      <c r="I12" s="126">
        <v>46193.0</v>
      </c>
      <c r="J12" s="31" t="s">
        <v>74</v>
      </c>
    </row>
    <row r="13">
      <c r="A13" s="31" t="s">
        <v>25</v>
      </c>
      <c r="B13" s="31">
        <v>1010.0</v>
      </c>
      <c r="C13" s="31" t="s">
        <v>42</v>
      </c>
      <c r="D13" s="31" t="s">
        <v>30</v>
      </c>
      <c r="E13" s="31">
        <v>20.0</v>
      </c>
      <c r="F13" s="31">
        <v>49.99</v>
      </c>
      <c r="H13" s="31" t="s">
        <v>82</v>
      </c>
      <c r="I13" s="127">
        <v>46191.0</v>
      </c>
      <c r="J13" s="31" t="s">
        <v>83</v>
      </c>
    </row>
    <row r="14">
      <c r="A14" s="31" t="s">
        <v>28</v>
      </c>
      <c r="B14" s="31">
        <v>1011.0</v>
      </c>
      <c r="C14" s="31" t="s">
        <v>44</v>
      </c>
      <c r="D14" s="31" t="s">
        <v>38</v>
      </c>
      <c r="E14" s="31">
        <v>15.0</v>
      </c>
      <c r="F14" s="31">
        <v>39.99</v>
      </c>
      <c r="G14" s="31">
        <v>599.85</v>
      </c>
      <c r="H14" s="31" t="s">
        <v>84</v>
      </c>
      <c r="I14" s="123">
        <v>46196.0</v>
      </c>
    </row>
    <row r="15">
      <c r="A15" s="31" t="s">
        <v>22</v>
      </c>
      <c r="B15" s="31">
        <v>1012.0</v>
      </c>
      <c r="C15" s="31" t="s">
        <v>41</v>
      </c>
      <c r="D15" s="31" t="s">
        <v>32</v>
      </c>
      <c r="E15" s="31">
        <v>18.0</v>
      </c>
      <c r="F15" s="31">
        <v>34.99</v>
      </c>
      <c r="G15" s="31">
        <v>629.82</v>
      </c>
      <c r="H15" s="31" t="s">
        <v>85</v>
      </c>
      <c r="I15" s="38">
        <v>46192.0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4" max="4" width="16.13"/>
    <col customWidth="1" min="5" max="5" width="19.5"/>
    <col customWidth="1" min="6" max="6" width="20.38"/>
  </cols>
  <sheetData>
    <row r="1" ht="22.5" customHeight="1">
      <c r="A1" s="85" t="s">
        <v>93</v>
      </c>
      <c r="B1" s="85" t="s">
        <v>10</v>
      </c>
      <c r="C1" s="85" t="s">
        <v>19</v>
      </c>
      <c r="D1" s="85" t="s">
        <v>94</v>
      </c>
      <c r="E1" s="85" t="s">
        <v>95</v>
      </c>
      <c r="F1" s="85" t="s">
        <v>58</v>
      </c>
    </row>
    <row r="2" ht="22.5" customHeight="1">
      <c r="A2" s="128" t="str">
        <f t="shared" ref="A2:A14" si="1">B1:B2 &amp; "-" &amp; C2</f>
        <v>DTC-Dresses</v>
      </c>
      <c r="B2" s="129" t="s">
        <v>25</v>
      </c>
      <c r="C2" s="129" t="s">
        <v>24</v>
      </c>
      <c r="D2" s="130">
        <v>20000.0</v>
      </c>
      <c r="E2" s="130">
        <v>12000.0</v>
      </c>
      <c r="F2" s="130">
        <v>8000.0</v>
      </c>
    </row>
    <row r="3" ht="22.5" customHeight="1">
      <c r="A3" s="128" t="str">
        <f t="shared" si="1"/>
        <v>DTC-Pants</v>
      </c>
      <c r="B3" s="129" t="s">
        <v>25</v>
      </c>
      <c r="C3" s="129" t="s">
        <v>72</v>
      </c>
      <c r="D3" s="130">
        <v>10000.0</v>
      </c>
      <c r="E3" s="130">
        <v>5000.0</v>
      </c>
      <c r="F3" s="130">
        <v>5000.0</v>
      </c>
    </row>
    <row r="4" ht="22.5" customHeight="1">
      <c r="A4" s="128" t="str">
        <f t="shared" si="1"/>
        <v>DTC-Jackets</v>
      </c>
      <c r="B4" s="129" t="s">
        <v>25</v>
      </c>
      <c r="C4" s="129" t="s">
        <v>30</v>
      </c>
      <c r="D4" s="130">
        <v>15000.0</v>
      </c>
      <c r="E4" s="130">
        <v>7500.0</v>
      </c>
      <c r="F4" s="130">
        <v>7500.0</v>
      </c>
    </row>
    <row r="5" ht="22.5" customHeight="1">
      <c r="A5" s="128" t="str">
        <f t="shared" si="1"/>
        <v>DTC-Tops</v>
      </c>
      <c r="B5" s="129" t="s">
        <v>25</v>
      </c>
      <c r="C5" s="129" t="s">
        <v>32</v>
      </c>
      <c r="D5" s="130">
        <v>7000.0</v>
      </c>
      <c r="E5" s="130">
        <v>3000.0</v>
      </c>
      <c r="F5" s="130">
        <v>4000.0</v>
      </c>
    </row>
    <row r="6" ht="22.5" customHeight="1">
      <c r="A6" s="128" t="str">
        <f t="shared" si="1"/>
        <v>WH-Dresses</v>
      </c>
      <c r="B6" s="129" t="s">
        <v>28</v>
      </c>
      <c r="C6" s="129" t="s">
        <v>24</v>
      </c>
      <c r="D6" s="130">
        <v>25000.0</v>
      </c>
      <c r="E6" s="130">
        <v>18000.0</v>
      </c>
      <c r="F6" s="130">
        <v>7000.0</v>
      </c>
    </row>
    <row r="7" ht="22.5" customHeight="1">
      <c r="A7" s="128" t="str">
        <f t="shared" si="1"/>
        <v>WH-Jackets</v>
      </c>
      <c r="B7" s="129" t="s">
        <v>28</v>
      </c>
      <c r="C7" s="129" t="s">
        <v>30</v>
      </c>
      <c r="D7" s="130">
        <v>12000.0</v>
      </c>
      <c r="E7" s="130">
        <v>7000.0</v>
      </c>
      <c r="F7" s="130">
        <v>5000.0</v>
      </c>
    </row>
    <row r="8" ht="22.5" customHeight="1">
      <c r="A8" s="128" t="str">
        <f t="shared" si="1"/>
        <v>WH-Pants</v>
      </c>
      <c r="B8" s="129" t="s">
        <v>28</v>
      </c>
      <c r="C8" s="129" t="s">
        <v>72</v>
      </c>
      <c r="D8" s="130">
        <v>10000.0</v>
      </c>
      <c r="E8" s="130">
        <v>4000.0</v>
      </c>
      <c r="F8" s="130">
        <v>6000.0</v>
      </c>
    </row>
    <row r="9" ht="22.5" customHeight="1">
      <c r="A9" s="128" t="str">
        <f t="shared" si="1"/>
        <v>WH-Skirts</v>
      </c>
      <c r="B9" s="129" t="s">
        <v>28</v>
      </c>
      <c r="C9" s="129" t="s">
        <v>38</v>
      </c>
      <c r="D9" s="130">
        <v>8000.0</v>
      </c>
      <c r="E9" s="130">
        <v>3000.0</v>
      </c>
      <c r="F9" s="130">
        <v>5000.0</v>
      </c>
    </row>
    <row r="10" ht="22.5" customHeight="1">
      <c r="A10" s="128" t="str">
        <f t="shared" si="1"/>
        <v>WH-Tops</v>
      </c>
      <c r="B10" s="129" t="s">
        <v>28</v>
      </c>
      <c r="C10" s="129" t="s">
        <v>32</v>
      </c>
      <c r="D10" s="130">
        <v>7000.0</v>
      </c>
      <c r="E10" s="130">
        <v>3000.0</v>
      </c>
      <c r="F10" s="130">
        <v>4000.0</v>
      </c>
    </row>
    <row r="11" ht="22.5" customHeight="1">
      <c r="A11" s="128" t="str">
        <f t="shared" si="1"/>
        <v>INT-Dresses</v>
      </c>
      <c r="B11" s="129" t="s">
        <v>22</v>
      </c>
      <c r="C11" s="129" t="s">
        <v>24</v>
      </c>
      <c r="D11" s="130">
        <v>15000.0</v>
      </c>
      <c r="E11" s="130">
        <v>9000.0</v>
      </c>
      <c r="F11" s="130">
        <v>6000.0</v>
      </c>
    </row>
    <row r="12" ht="22.5" customHeight="1">
      <c r="A12" s="128" t="str">
        <f t="shared" si="1"/>
        <v>INT-Skirts</v>
      </c>
      <c r="B12" s="129" t="s">
        <v>22</v>
      </c>
      <c r="C12" s="129" t="s">
        <v>38</v>
      </c>
      <c r="D12" s="130">
        <v>10000.0</v>
      </c>
      <c r="E12" s="130">
        <v>2000.0</v>
      </c>
      <c r="F12" s="130">
        <v>8000.0</v>
      </c>
    </row>
    <row r="13" ht="22.5" customHeight="1">
      <c r="A13" s="128" t="str">
        <f t="shared" si="1"/>
        <v>INT-Tops</v>
      </c>
      <c r="B13" s="129" t="s">
        <v>22</v>
      </c>
      <c r="C13" s="129" t="s">
        <v>32</v>
      </c>
      <c r="D13" s="130">
        <v>6000.0</v>
      </c>
      <c r="E13" s="130">
        <v>2000.0</v>
      </c>
      <c r="F13" s="130">
        <v>4000.0</v>
      </c>
    </row>
    <row r="14" ht="22.5" customHeight="1">
      <c r="A14" s="128" t="str">
        <f t="shared" si="1"/>
        <v>INT-Pants</v>
      </c>
      <c r="B14" s="129" t="s">
        <v>22</v>
      </c>
      <c r="C14" s="129" t="s">
        <v>72</v>
      </c>
      <c r="D14" s="130">
        <v>5000.0</v>
      </c>
      <c r="E14" s="130">
        <v>1000.0</v>
      </c>
      <c r="F14" s="130">
        <v>4000.0</v>
      </c>
    </row>
  </sheetData>
  <dataValidations>
    <dataValidation type="custom" allowBlank="1" showDropDown="1" sqref="D2:F14">
      <formula1>AND(ISNUMBER(D2),(NOT(OR(NOT(ISERROR(DATEVALUE(D2))), AND(ISNUMBER(D2), LEFT(CELL("format", D2))="D")))))</formula1>
    </dataValidation>
    <dataValidation allowBlank="1" showDropDown="1" sqref="B2:B14"/>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7" t="s">
        <v>7</v>
      </c>
      <c r="B1" s="117" t="s">
        <v>10</v>
      </c>
      <c r="C1" s="117" t="s">
        <v>9</v>
      </c>
      <c r="D1" s="117" t="s">
        <v>60</v>
      </c>
      <c r="E1" s="117" t="s">
        <v>36</v>
      </c>
    </row>
    <row r="2">
      <c r="A2" s="31">
        <v>1001.0</v>
      </c>
      <c r="B2" s="31" t="s">
        <v>25</v>
      </c>
      <c r="C2" s="31">
        <v>60.0</v>
      </c>
      <c r="D2" s="131">
        <v>1800.0</v>
      </c>
      <c r="E2" s="132">
        <v>0.6</v>
      </c>
    </row>
    <row r="3">
      <c r="A3" s="31">
        <v>1002.0</v>
      </c>
      <c r="B3" s="31" t="s">
        <v>25</v>
      </c>
      <c r="C3" s="31">
        <v>50.0</v>
      </c>
      <c r="D3" s="131">
        <v>1500.0</v>
      </c>
      <c r="E3" s="132">
        <v>0.55</v>
      </c>
    </row>
    <row r="4">
      <c r="A4" s="31">
        <v>1001.0</v>
      </c>
      <c r="B4" s="31" t="s">
        <v>28</v>
      </c>
      <c r="C4" s="31">
        <v>70.0</v>
      </c>
      <c r="D4" s="131">
        <v>2100.0</v>
      </c>
      <c r="E4" s="132">
        <v>0.5</v>
      </c>
    </row>
    <row r="5">
      <c r="A5" s="31">
        <v>1003.0</v>
      </c>
      <c r="B5" s="31" t="s">
        <v>28</v>
      </c>
      <c r="C5" s="31">
        <v>25.0</v>
      </c>
      <c r="D5" s="131">
        <v>1250.0</v>
      </c>
      <c r="E5" s="132">
        <v>0.52</v>
      </c>
    </row>
    <row r="6">
      <c r="A6" s="31">
        <v>1002.0</v>
      </c>
      <c r="B6" s="31" t="s">
        <v>22</v>
      </c>
      <c r="C6" s="31">
        <v>30.0</v>
      </c>
      <c r="D6" s="31">
        <v>900.0</v>
      </c>
      <c r="E6" s="132">
        <v>0.5</v>
      </c>
    </row>
    <row r="7">
      <c r="A7" s="31">
        <v>1004.0</v>
      </c>
      <c r="B7" s="31" t="s">
        <v>25</v>
      </c>
      <c r="C7" s="31">
        <v>25.0</v>
      </c>
      <c r="D7" s="31">
        <v>875.0</v>
      </c>
      <c r="E7" s="132">
        <v>0.6</v>
      </c>
    </row>
    <row r="8">
      <c r="A8" s="31">
        <v>1005.0</v>
      </c>
      <c r="B8" s="31" t="s">
        <v>28</v>
      </c>
      <c r="C8" s="31">
        <v>20.0</v>
      </c>
      <c r="D8" s="31">
        <v>800.0</v>
      </c>
      <c r="E8" s="132">
        <v>0.55</v>
      </c>
    </row>
    <row r="9">
      <c r="A9" s="31">
        <v>1006.0</v>
      </c>
      <c r="B9" s="31" t="s">
        <v>22</v>
      </c>
      <c r="C9" s="31">
        <v>35.0</v>
      </c>
      <c r="D9" s="131">
        <v>1400.0</v>
      </c>
      <c r="E9" s="132">
        <v>0.48</v>
      </c>
    </row>
    <row r="10">
      <c r="A10" s="31">
        <v>1007.0</v>
      </c>
      <c r="B10" s="31" t="s">
        <v>25</v>
      </c>
      <c r="C10" s="31">
        <v>40.0</v>
      </c>
      <c r="D10" s="31">
        <v>799.6</v>
      </c>
      <c r="E10" s="132">
        <v>0.55</v>
      </c>
    </row>
    <row r="11">
      <c r="A11" s="31">
        <v>1008.0</v>
      </c>
      <c r="B11" s="31" t="s">
        <v>28</v>
      </c>
      <c r="C11" s="31">
        <v>25.0</v>
      </c>
      <c r="D11" s="31">
        <v>875.0</v>
      </c>
      <c r="E11" s="132">
        <v>0.5</v>
      </c>
    </row>
    <row r="12">
      <c r="A12" s="31">
        <v>1009.0</v>
      </c>
      <c r="B12" s="31" t="s">
        <v>22</v>
      </c>
      <c r="C12" s="31">
        <v>30.0</v>
      </c>
      <c r="D12" s="31">
        <v>989.7</v>
      </c>
      <c r="E12" s="132">
        <v>0.52</v>
      </c>
    </row>
    <row r="13">
      <c r="A13" s="31">
        <v>1010.0</v>
      </c>
      <c r="B13" s="31" t="s">
        <v>25</v>
      </c>
      <c r="C13" s="31">
        <v>25.0</v>
      </c>
      <c r="D13" s="131">
        <v>1200.0</v>
      </c>
      <c r="E13" s="132">
        <v>0.5</v>
      </c>
    </row>
    <row r="14">
      <c r="A14" s="31">
        <v>1011.0</v>
      </c>
      <c r="B14" s="31" t="s">
        <v>28</v>
      </c>
      <c r="C14" s="31">
        <v>20.0</v>
      </c>
      <c r="D14" s="31">
        <v>800.0</v>
      </c>
      <c r="E14" s="132">
        <v>0.55</v>
      </c>
    </row>
    <row r="15">
      <c r="A15" s="31">
        <v>1012.0</v>
      </c>
      <c r="B15" s="31" t="s">
        <v>22</v>
      </c>
      <c r="C15" s="31">
        <v>18.0</v>
      </c>
      <c r="D15" s="31">
        <v>630.0</v>
      </c>
      <c r="E15" s="132">
        <v>0.55</v>
      </c>
    </row>
  </sheetData>
  <drawing r:id="rId1"/>
</worksheet>
</file>